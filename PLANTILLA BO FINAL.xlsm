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namedSheetViews/namedSheetView1.xml" ContentType="application/vnd.ms-excel.namedsheetviews+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8"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CHINCHAYL\Desktop\"/>
    </mc:Choice>
  </mc:AlternateContent>
  <xr:revisionPtr revIDLastSave="0" documentId="8_{64F60E2E-B9E3-42F4-9700-E0C01831B092}" xr6:coauthVersionLast="47" xr6:coauthVersionMax="47" xr10:uidLastSave="{00000000-0000-0000-0000-000000000000}"/>
  <workbookProtection workbookAlgorithmName="SHA-512" workbookHashValue="6YI409J+ZbRp5tBqjgdVFMKDunnJF4UwiDE9ujwVkgRv7c8FGtGZ8XTQWMrEdumbe8J3gdL/sHzhjwjClj9mBw==" workbookSaltValue="Hzr0PDy4ijCOAUER0pchBg==" workbookSpinCount="100000" lockStructure="1"/>
  <bookViews>
    <workbookView xWindow="0" yWindow="0" windowWidth="28800" windowHeight="12315" firstSheet="1" activeTab="1" xr2:uid="{00000000-000D-0000-FFFF-FFFF00000000}"/>
  </bookViews>
  <sheets>
    <sheet name="BASE_DATOS" sheetId="1" state="hidden" r:id="rId1"/>
    <sheet name="PLANTILLAS" sheetId="2" r:id="rId2"/>
    <sheet name="Hoja2" sheetId="5" state="hidden" r:id="rId3"/>
    <sheet name="Hoja1" sheetId="3" state="hidden" r:id="rId4"/>
    <sheet name="BASE DE DATOS" sheetId="4" state="hidden" r:id="rId5"/>
    <sheet name="RELACIONES" sheetId="6" state="hidden" r:id="rId6"/>
    <sheet name="RELACIONES SOLUCION" sheetId="7" state="hidden" r:id="rId7"/>
  </sheets>
  <definedNames>
    <definedName name="_xlnm._FilterDatabase" localSheetId="4" hidden="1">'BASE DE DATOS'!$E$2:$E$21</definedName>
    <definedName name="_xleta.CHAR" hidden="1" xlm="1">#NAME?</definedName>
    <definedName name="_xleta.CLEAN" hidden="1" xlm="1">#NAME?</definedName>
    <definedName name="APPS">'BASE DE DATOS'!$I$1:$I$115</definedName>
    <definedName name="APPS_">RELACIONES!$K$2:$K$4</definedName>
    <definedName name="Asesores">Tabla5[ASESORES]</definedName>
    <definedName name="AVERIA_MASIVA_POSIBLE_AVERIA">'BASE DE DATOS'!$AE$2:$AE$6</definedName>
    <definedName name="CABLE">'BASE DE DATOS'!$H$1:$H$17</definedName>
    <definedName name="CABLE_">RELACIONES!$J$2:$J$8</definedName>
    <definedName name="CICLO_DE_LLAMADA">'BASE DE DATOS'!$P$1:$P$3</definedName>
    <definedName name="CLIENTE_CON_SOT_CREADA_POR_TERCEROS">'BASE DE DATOS'!$Q$1:$Q$5</definedName>
    <definedName name="CLIENTE_CON_SUSPENSION_DE_SERVICIOS">'BASE DE DATOS'!$L$2:$L$3</definedName>
    <definedName name="CLIENTE_DARA_DE_BAJA_EL_SERVICIO">'BASE DE DATOS'!$N$2</definedName>
    <definedName name="CLIENTE_DARA_DE_BAJA_EL_SERVICIO_">RELACIONES!$O$2:$O$3</definedName>
    <definedName name="CLIENTE_NO_BRINDA_FACILIDADES">'BASE DE DATOS'!$AH$2:$AH$9</definedName>
    <definedName name="CLIENTE_SOLICITA_DEVOLUCION_DE_LLAMADA">'BASE DE DATOS'!$J$2:$J$3</definedName>
    <definedName name="Datos">'BASE DE DATOS'!$A$31:$B$94</definedName>
    <definedName name="DERIVADO_A_TI_REMEDY">'BASE DE DATOS'!$M$1:$M$42</definedName>
    <definedName name="DERIVADO_A_TI_REMEDY_">RELACIONES!$Q$2:$Q$10</definedName>
    <definedName name="DESCARTES_FISICOS">'BASE DE DATOS'!$U$2:$U$5</definedName>
    <definedName name="DESCARTES_FISICOS_CABLE_DIGITAL">'BASE DE DATOS'!$Y$2:$Y$5</definedName>
    <definedName name="DESCARTES_FISICOS_INTERNET">'BASE DE DATOS'!$U$2:$U$6</definedName>
    <definedName name="DESCARTES_FISICOS_IPTV">'BASE DE DATOS'!$W$2:$W$5</definedName>
    <definedName name="DESCARTES_FISICOS_TELEFONIA">'BASE DE DATOS'!$AA$2:$AA$5</definedName>
    <definedName name="DESCARTES_REMOTOS">'BASE DE DATOS'!$V$2:$V$5</definedName>
    <definedName name="DESCARTES_REMOTOS_CABLE_DIGITAL">'BASE DE DATOS'!$Z$2:$Z$6</definedName>
    <definedName name="DESCARTES_REMOTOS_INTERNET">'BASE DE DATOS'!$V$2:$V$24</definedName>
    <definedName name="DESCARTES_REMOTOS_IPTV">'BASE DE DATOS'!$X$2:$X$15</definedName>
    <definedName name="DESCARTES_REMOTOS_TELEFONIA">'BASE DE DATOS'!$AB$2:$AB$10</definedName>
    <definedName name="e">Tabla6[Usuarios id]</definedName>
    <definedName name="ENVIO_DE_COMANDOS_CONTROL_REMOTO_IPTV">'BASE DE DATOS'!#REF!</definedName>
    <definedName name="ENVIO_DE_COMANDOS_CONTROL_REMOTO_STB">'BASE DE DATOS'!#REF!</definedName>
    <definedName name="ENVIO_DE_COMANDOS_REFRESH___INIT">'BASE DE DATOS'!#REF!</definedName>
    <definedName name="EXPLICACIÓN_DE_USO_DEL_SERVICIO">'BASE DE DATOS'!$AG$2:$AG$10</definedName>
    <definedName name="GENERACION_SOT_BO">'BASE DE DATOS'!$AC$2:$AC$15</definedName>
    <definedName name="GENERACION_SOT_SOLICITUD_CLIENTE">'BASE DE DATOS'!$AD$2:$AD$6</definedName>
    <definedName name="INFORMACION_DERIVACION_ERRADA">'BASE DE DATOS'!$O$1:$O$5</definedName>
    <definedName name="INFORMATIVO_AVERIA_MASIVA">'BASE DE DATOS'!$K$2:$K$3</definedName>
    <definedName name="INFORMATIVO_AVERIA_MASIVA_">RELACIONES!$M$2</definedName>
    <definedName name="INTERNET">'BASE DE DATOS'!$E$1:$E$37</definedName>
    <definedName name="INTERNET_">RELACIONES!$G$2:$G$8</definedName>
    <definedName name="IPTV">'BASE DE DATOS'!$G$1:$G$31</definedName>
    <definedName name="IPTV_">RELACIONES!$I$2:$I$8</definedName>
    <definedName name="MOTIVO_SOLUCION">'BASE DE DATOS'!$S$1:$S$9</definedName>
    <definedName name="NUMERO_NO_EXISTE_NUMERO_ERRADO_MAL_CREADO">'BASE DE DATOS'!$O$2:$O$5</definedName>
    <definedName name="PROBLEMA_DETECTADO">'BASE DE DATOS'!$A$2:$A$15</definedName>
    <definedName name="SOLUCION_CONFIGURACION_WIFI">Tabla8[DESCARTES_REMOTOS_CABLE_DIGITAL]</definedName>
    <definedName name="SOLUCION_PLATAFORMA_PLUME">'BASE DE DATOS'!$V$20:$V$23</definedName>
    <definedName name="TELEFONIA">'BASE DE DATOS'!$F$2:$F$27</definedName>
    <definedName name="TELEFONIA_">RELACIONES!$H$2:$H$7</definedName>
    <definedName name="Tipis2">Tabla2[]</definedName>
    <definedName name="VALIDACION_DE_LOS_EQUIPOS_DEL_CLIENTE">'BASE DE DATOS'!$AF$2:$AF$8</definedName>
    <definedName name="WEB_APP_PLATAFORMAS_DE_ENTRETENIMIENTO">'BASE DE DATOS'!$AI$2:$AI$9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1" i="2" l="1"/>
  <c r="B52" i="2" l="1"/>
  <c r="B24" i="5"/>
  <c r="B11" i="2" l="1"/>
</calcChain>
</file>

<file path=xl/sharedStrings.xml><?xml version="1.0" encoding="utf-8"?>
<sst xmlns="http://schemas.openxmlformats.org/spreadsheetml/2006/main" count="1047" uniqueCount="756">
  <si>
    <t>PLANTILLAS BO TECNICA HITSS</t>
  </si>
  <si>
    <t>PLANTILLA</t>
  </si>
  <si>
    <t>ESTADO SIAC</t>
  </si>
  <si>
    <t>ESTADO FORMULARIO</t>
  </si>
  <si>
    <t>MOTIVO FORMULARIO</t>
  </si>
  <si>
    <t>HASHTAG</t>
  </si>
  <si>
    <t>DESCRIPCIÓN</t>
  </si>
  <si>
    <t>ÁREA GENERADORA</t>
  </si>
  <si>
    <t>VALIDACION</t>
  </si>
  <si>
    <t>OBSERVACIONES</t>
  </si>
  <si>
    <t>BACK OFFICE FIJA HITSS
Solucionado/Cliente brinda Conformidad
Problema/Solución:
Persona de Contacto:
Numero de Contacto:
ID Llamada:
Asesor:</t>
  </si>
  <si>
    <t>CERRADO-NO APLICA-PROCEDENTE</t>
  </si>
  <si>
    <t>PROCEDENTE</t>
  </si>
  <si>
    <t>SOLUCIONADO ACCESO ACTIVAR BOUQUETS
SOLUCIONADO ACCESO ALTA Y BAJA INCOGNITO &gt; Instalar ONT/CM
SOLUCIONADO ACCESO CAMBIO DE RESOLUCIÓN SKYWAY
SOLUCIONADO ACCESO CLEAN DATA SKYWAY
SOLUCIONADO ACCESO FIJACIÓN DE IP
SOLUCIONADO ACCESO PREFERENCES SKYWAY
SOLUCIONADO ACCESO PROVISIÓN FIJA + CLEAN DATA SKYWAY
SOLUCIONADO ACCESO PROVISIÓN FIJA &gt; ActivarGPONTV 
SOLUCIONADO ACCESO PROVISIÓN FIJA &gt; Instalar serialNumber STB
SOLUCIONADO ACCESO PROVISIÓN FIJA &gt; REGENERAR IPTV
SOLUCIONADO DESCARTES TÉCNICOS CAMBIO DE PILAS CONTROL REMOTO
SOLUCIONADO DESCARTES TÉCNICOS CONEXIONES
SOLUCIONADO DESCARTES TÉCNICOS PROBLEMAS EQUIPOS DEL CLIENTE
SOLUCIONADO DESCARTES TÉCNICOS RESET FACTORY
SOLUCIONADO DESCARTES TÉCNICOS RESET FACTORY + CLEAN DATA SKYWAY
SOLUCIONADO DESCARTES TÉCNICOS VELOCIDAD MÍNIMA 70%
SOLUCIONADO INFORMACIÓN PRODUCTO PLAN TV DIGITAL
SOLUCIONADO INFORMACIÓN COMERCIAL SOLICITUD FAST TRACK
SOLUCIONADO INFORMACIÓN GRILLA DE CANALES TV DIGITAL
SOLUCIONADO INFORMACIÓN SIN SALDO PARA LLAMADAS
SOLUCIONADO OK EN LÍNEA</t>
  </si>
  <si>
    <t>#SINSERVICIOPRIORIDADAM#</t>
  </si>
  <si>
    <t>SOTs generadas cuando el problema es sin servicio total. Se utiliza para que contrata lleve escalera.</t>
  </si>
  <si>
    <t>BO-TECNICO-BO PREVENTIVA</t>
  </si>
  <si>
    <t>CONFORME</t>
  </si>
  <si>
    <t>SIN FRANJAS CERCANAS DISPONIBLES</t>
  </si>
  <si>
    <t>#SINSERVICIOPRIORIDADPM#</t>
  </si>
  <si>
    <t>*A SOLICITUD CLARO</t>
  </si>
  <si>
    <t>SOTs generadas a Solicitud del Claro.</t>
  </si>
  <si>
    <t>BO/ATENCION ESPECIALIZADA</t>
  </si>
  <si>
    <t>CORREO/WSP</t>
  </si>
  <si>
    <t>*A SOLICITUD DEL CLIENTE</t>
  </si>
  <si>
    <t>SOTs generadas a Solicitud del Cliente.</t>
  </si>
  <si>
    <t>BO-TECNICO</t>
  </si>
  <si>
    <t>N/A</t>
  </si>
  <si>
    <t>*CONTROL REMOTO</t>
  </si>
  <si>
    <t>SOTs generadas por inconvenientes con el control remoto.</t>
  </si>
  <si>
    <t xml:space="preserve">SINCRONIZACION FALLIDA </t>
  </si>
  <si>
    <t>*CLIENTE DEMO</t>
  </si>
  <si>
    <t>SOTs generadas para servicios de Cliente “América Móvil S.A.C.”</t>
  </si>
  <si>
    <t>*REPOSICIÓN DE EQUIPO</t>
  </si>
  <si>
    <t>SOTs generada por reposición de equipo extraviado o robado</t>
  </si>
  <si>
    <t>VALIDAR SI DERIVACION DE CASO FUE POR CAC</t>
  </si>
  <si>
    <t>#BASE PREVENTIVA RED</t>
  </si>
  <si>
    <t>SOTs generadas por Reinicios Constantes de Cable Módem/ONT alertados por Red.</t>
  </si>
  <si>
    <t>BO-PREVENTIVA</t>
  </si>
  <si>
    <t>BASE RED</t>
  </si>
  <si>
    <t>#BASE POTENCIA</t>
  </si>
  <si>
    <t>SOTs generadas por Niveles Fuera de Rango</t>
  </si>
  <si>
    <t>#BASE PREVENTIVA</t>
  </si>
  <si>
    <t>SOTs generadas por Reinicios Constantes de Cable Módem/ONT</t>
  </si>
  <si>
    <t>PLANTILLA SGA</t>
  </si>
  <si>
    <t xml:space="preserve">(INGRESAR "#" SEGUN ESCENARIO CORRESPONDIENTE)
BACKOFFICE FIJA HITSS 
- FECHA CONFIRMADA:
- POTENCIA HYGEIA:  
- CUSTOMER ID: 
- PROBLEMA REPORTADO:
- ¿HACE CUÁNTO TIEMPO PRESENTA EL PROBLEMA?:  
- NOMBRE DE QUIEN REPORTA (TITULAR - PARENTESCO): 
- TELÉFONO (WHATSAPP): 
- ESTADO EN INCOGNITO:     
- ESTADO DE SERVICIO EN TRACER: 
- ACCIONES REALIZADAS: Validación de descartes. Problema persiste. Se genera SOT para atención en campo.
- ID DE LLAMADA/ ID LARAIGO: 
- CASO RELACIONADO (SIAC):
- ASESOR: </t>
  </si>
  <si>
    <t>BACK OFFICE FIJA HITSS
Con Visita Técnica
Sot:
Fecha Confirmada:
Problema:
Motivo:
Persona de Contacto:
Numero de Contacto:
ID Llamada:
Asesor:</t>
  </si>
  <si>
    <t>BO ATC - SOT DE MANTTO A SOLICITUD CLARO - CONMUTACIÓN
BO ATC - SOT DE MANTTO A SOLICITUD CLARO - RED
BO ATC - SOT DE MANTTO A SOLICITUD DEL CLIENTE
BO ATC - SOT DE MANTTO NO FUNCIONA CONTROL REMOTO
BO ATC - SOT DE MANTTO SIN SERVICIO GENERAL</t>
  </si>
  <si>
    <t>BACK OFFICE FIJA HITSS
Ciclo Cumplido/Sin Contacto
Problema/Solución:
Persona de Contacto:
Numero de Contacto:
Intentos de Llamada:3
Buzón de voz: -&gt;OBLIGATORIO DEJAR MENSAJE DE VOZ
ID Llamada:
Asesor:</t>
  </si>
  <si>
    <t>MENSAJE BUZÓN DE VOZ
NO CONTACTO SIN CASILLA DE VOZ</t>
  </si>
  <si>
    <t xml:space="preserve">BACK OFFICE FIJA HITSS
Informativo/Avería Masiva
Persona de Contacto:
Numero de Contacto:
Contesta: SI/NO
Buzón de voz: SI/NO
ID Llamada:
Asesor:
</t>
  </si>
  <si>
    <t>NO PROCEDENTE</t>
  </si>
  <si>
    <t>BO ATC - AVERÍA MASIVA EN EJECUCIÓN POST-CREACIÓN CASO
BO ATC - AVERÍA MASIVA EN EJECUCIÓN PRE-CREACIÓN CASO</t>
  </si>
  <si>
    <t>BACK OFFICE FIJA HITSS
Cliente con suspensión de servicios
ID Llamada: N/A
Asesor:</t>
  </si>
  <si>
    <t>BO ATC - SERVICIO SUSPENDIDO POST-CREACIÓN CASO
BO ATC - SERVICIO SUSPENDIDO PRE-CREACIÓN CASO</t>
  </si>
  <si>
    <t>BACK OFFICE FIJA HITSS
Cliente dara de baja el servicio
ID Llamada: N/A
Asesor:</t>
  </si>
  <si>
    <t>BO ATC - CLIENTE DARÁ DE BAJA SERVICIO</t>
  </si>
  <si>
    <t>BACK OFFICE FIJA HITSS
Numero no existe/Numero errado/Mal creado
Contacto:
N° Telefónico:
ID Llamada:
Asesor:</t>
  </si>
  <si>
    <t>BO ATC - DERIVACIÓN INCORRECTA                                                                                       BO ATC - EMTA/ONT NO HOMOLOGADO EN SMARTHOME                                                                                          BO ATC - DUPLICIDAD DE CASO                                                                                                                          BO ATC - TIPIFICACIÓN INCORRECTA                                                                                                           BO ATC - PÁGINAS WEB BLOQUEADAS POR INDECOPI</t>
  </si>
  <si>
    <t>BACK OFFICE FIJA HITSS
Cliente desiste de la atención
Persona de Contacto:
Numero de Contacto:
Motivo:
ID Llamada:
Asesor:</t>
  </si>
  <si>
    <t>BO ATC - CLIENTE NO BRINDA FACILIDADES TÉCNICAS
BO ATC - SIN RECEPCIÓN PRUEBAS CLIENTE</t>
  </si>
  <si>
    <t>BACK OFFICE FIJA HITSS
Ciclo de llamada
Intentos de Llamada:1/2/3
Problema/Solución:
Persona de Contacto:
Numero de Contacto:
Buzón de voz: -&gt;OBLIGATORIO DEJAR MENSAJE DE VOZ
ID Llamada:
Asesor:</t>
  </si>
  <si>
    <t>RECUPERADO-EN TRAMITE</t>
  </si>
  <si>
    <t>EN TRAMITE</t>
  </si>
  <si>
    <t>BO ATC - 1ER INTENTO COMUNICACIÓN SIN BUZÓN DE VOZ
BO ATC - 1ER INTENTO COMUNICACIÓN MENSAJE EN EL BUZÓN DE VOZ
BO ATC - 2DO INTENTO COMUNICACIÓN SIN BUZÓN DE VOZ
BO ATC - 2DO INTENTO COMUNICACIÓN MENSAJE EN EL BUZÓN DE VOZ
BO ATC - FALLA SOLUCIONADA / CONTACTO CLIENTE
BO ATC - DIAGNÓSTICO PROVISIÓN TÉCNICA
BO ATC - CASO DERIVADO CON SUPERVISIÓN BOT</t>
  </si>
  <si>
    <t>BACK OFFICE FIJA HITSS
Cliente solicita devolución de llamada
Fecha/Hora:
Problema/Solución:
Persona de Contacto:
Numero de Contacto:
ID Llamada:
Asesor:</t>
  </si>
  <si>
    <t>BO ATC - CLIENTE SOLICITA DEVOLUCIÓN DE LLAMADA                                                      BO ATC - LLAMADA PROGRAMADA POR DISPONIBILIDAD CLIENTE</t>
  </si>
  <si>
    <t>BACK OFFICE FIJA HITSS
Derivado a conmutación-Correo                  (ADJUNTAR)
Persona de Contacto:
Numero de Contacto:
ID Llamada:
Asesor:</t>
  </si>
  <si>
    <t>BO ATC - DERIVADO A CONMUTACIÓN</t>
  </si>
  <si>
    <t>BACK OFFICE FIJA HITSS
Derivado a TI-Remedy
Motivo:
Remedy:
Persona de Contacto:
Numero de Contacto:
ID Llamada:
Asesor:</t>
  </si>
  <si>
    <t>IPTV - PAQUETES NO PROVISIONADOS EN IOTDB
IPTV - EQUIPOS NO PROVISIONADOS EN IOTDB
BO ATC - MIGRACION A CBIO FALLO / SGA MUESTRA MENSAJE DE ERROR
BO ATC - LÍNEA NO REGISTRADA EN CBIO
BO ATC - DESALINEACION OCSI
APP SMART HOME - DISPOSITIVOS CONECTADOS - ERROR AL CARGAR LOS DISPOSITIVOS CONECTADOS
BO ATC - SUSCRIPCIONES INCOMPLETAS
BO ATC - SIN E. INCOGNITO / ACTIVO SIAC (SGA TRANSLATOR)
IPTV - EQUIPOS Y PAQUETES NO PROVISIONADOS EN IOTDB
BO ATC - SUSCRIPCIONES INCORRECTAS
BO ATC - ERROR CON ACTIVACIÓN DE BOUQUETS
BO ATC - SERVICIO CON TECNOLOGIA ERRADA
BO CN - INCOGNITO SUSPENDIDO / SGA ACTIVO
BO ATC - LÍNEA CON BOLSA INCORRECTA EN CBIO</t>
  </si>
  <si>
    <t>BACK OFFICE FIJA HITSS
Pendiente de envió de pruebas
Problema:
Motivo: **Derivación en Curso**
Persona de Contacto:
Numero de Contacto:
ID Llamada:
Asesor:</t>
  </si>
  <si>
    <t>BO ATC - ENVÍO PRUEBAS CLIENTE</t>
  </si>
  <si>
    <t>BACK OFFICE FIJA HITSS
Descarte cambio de IP
Problema: Relance de Servicios - Validar en 10 minutos</t>
  </si>
  <si>
    <t>BO ATC - EJECUCIÓN BAJA Y ALTA INCOGNITO - INSTALAR                                          BO ATC - EJECUCIÓN BAJA Y ALTA INCOGNITO - DESACTIVAR</t>
  </si>
  <si>
    <t>Columna1</t>
  </si>
  <si>
    <t>Columna2</t>
  </si>
  <si>
    <t>FORMULARIO DE TIPIFICACIÓN SIAC (INTERACTIVO)</t>
  </si>
  <si>
    <t>TIPO DE PLANTILLA:</t>
  </si>
  <si>
    <t>ESTADO SIAC:</t>
  </si>
  <si>
    <t>ESTADO FORMULARIO:</t>
  </si>
  <si>
    <t>MOTIVO:</t>
  </si>
  <si>
    <t>SOLUCIONADO ACCESO ACTIVAR BOUQUETS</t>
  </si>
  <si>
    <t>HASHTAG:</t>
  </si>
  <si>
    <t>ÁREA:</t>
  </si>
  <si>
    <t>DESCRIPCIÓN AUTOMÁTICA:</t>
  </si>
  <si>
    <t>PLANTILLA FINAL</t>
  </si>
  <si>
    <t>NOMBRE DE USUARIO:</t>
  </si>
  <si>
    <t>AARON SAAVEDRA</t>
  </si>
  <si>
    <t>USUARIO:</t>
  </si>
  <si>
    <t>E759713</t>
  </si>
  <si>
    <t>TIPIFICACION</t>
  </si>
  <si>
    <t>PERSONA DE CONTACTO:</t>
  </si>
  <si>
    <t>AAROON</t>
  </si>
  <si>
    <t>NÚMERO DE CONTACTO:</t>
  </si>
  <si>
    <t>SOT:</t>
  </si>
  <si>
    <t>ID DE LLAMADA:</t>
  </si>
  <si>
    <t>PLANTILLA:</t>
  </si>
  <si>
    <t>FINAL:</t>
  </si>
  <si>
    <t>BO TECNICO - PLANTILLAS AUTOMATICAS</t>
  </si>
  <si>
    <t>VINCULO</t>
  </si>
  <si>
    <t>SERVICIOS</t>
  </si>
  <si>
    <t>PROBLEMA</t>
  </si>
  <si>
    <t>TITULAR</t>
  </si>
  <si>
    <t>INTERNET</t>
  </si>
  <si>
    <t>#SINSERVICIOPRIORIDAD#</t>
  </si>
  <si>
    <t>LENTITUD</t>
  </si>
  <si>
    <t>PLANTILLEITOR MEJORADO</t>
  </si>
  <si>
    <t>FAMILIAR</t>
  </si>
  <si>
    <t>TELEFONIA</t>
  </si>
  <si>
    <t>#A SOLICITUD CLARO</t>
  </si>
  <si>
    <t>SIN SERVICIO</t>
  </si>
  <si>
    <t>ENCARGADO</t>
  </si>
  <si>
    <t>CABLE</t>
  </si>
  <si>
    <t>#A SOLICITUD DEL CLIENTE</t>
  </si>
  <si>
    <t>INTERMITENTE</t>
  </si>
  <si>
    <t>IPTV</t>
  </si>
  <si>
    <t>#CONTROL REMOTO</t>
  </si>
  <si>
    <t>SIN SEÑAL</t>
  </si>
  <si>
    <t>SERVICIO</t>
  </si>
  <si>
    <t>DTH</t>
  </si>
  <si>
    <t>#CLIENTE DEMO</t>
  </si>
  <si>
    <t>IMAGEN PIXELEADA</t>
  </si>
  <si>
    <t>PROBLEMA DETECTADO</t>
  </si>
  <si>
    <t>INT - LOS EN ROJO</t>
  </si>
  <si>
    <t>IFI</t>
  </si>
  <si>
    <t>#NO24</t>
  </si>
  <si>
    <t>SIN VOLUMEN</t>
  </si>
  <si>
    <t>WILMER JESUS CASTILLO DE LA CRUZ</t>
  </si>
  <si>
    <t>#A SOLICITUD DE BAJA</t>
  </si>
  <si>
    <t>SIN LLAMADAS SALIENTES</t>
  </si>
  <si>
    <t>#MANTENIMIENTO + CAMBIO A 3.1</t>
  </si>
  <si>
    <t>SIN LLAMADAS ENTRANTES</t>
  </si>
  <si>
    <t>SOT/REMEDY:</t>
  </si>
  <si>
    <t>#TRACER POR MEJORA TECNOLOGICA 3.1</t>
  </si>
  <si>
    <t>CONTROL NO SINCRONIZADO</t>
  </si>
  <si>
    <t>ID DE LLAMADA/LARAIGO:</t>
  </si>
  <si>
    <t>1786548320-2769346</t>
  </si>
  <si>
    <t>#REINCIDENCIA</t>
  </si>
  <si>
    <t>A SOLICITUD DE RED</t>
  </si>
  <si>
    <t>FECHA CONFIRMADA:</t>
  </si>
  <si>
    <t>#SIN ACCESOS SISTEMAS </t>
  </si>
  <si>
    <t>EQUIPO ROTO/AVERIADO</t>
  </si>
  <si>
    <t>CUSTOMER ID:</t>
  </si>
  <si>
    <t>#OTROS CALIDAD</t>
  </si>
  <si>
    <t>ROUTER DESCONECTADO</t>
  </si>
  <si>
    <t>SOLUCION</t>
  </si>
  <si>
    <t>SE GENERA SOT DE MTTO</t>
  </si>
  <si>
    <t>#CONFIGURACION REPETIDOR</t>
  </si>
  <si>
    <t>FALLA REPETIDOR</t>
  </si>
  <si>
    <t>TIPIFICACION DE SOLUCION</t>
  </si>
  <si>
    <t>DESCARTES REALIZADOS:</t>
  </si>
  <si>
    <t>SE VALIDA SIN CONSUMO EN TRACER, DESARTES FISICOS LOS EN ROJO, SE REINICIO SIN EXITO</t>
  </si>
  <si>
    <t>PLANTILLA SIAC:</t>
  </si>
  <si>
    <t>PLANTILLA MANTO:</t>
  </si>
  <si>
    <t>ALBERTO MANUEL QUISPE CHÁVEZ</t>
  </si>
  <si>
    <t>E761034</t>
  </si>
  <si>
    <t>SOLUCION DEL CASO</t>
  </si>
  <si>
    <t>17982-569874</t>
  </si>
  <si>
    <t>DOWNSTREAM HYGEA:</t>
  </si>
  <si>
    <t>SERVICIO AFECTADO:</t>
  </si>
  <si>
    <t>PROBLEMA REPORTADO:</t>
  </si>
  <si>
    <t>DILACION DEL INCOVENIENTE:</t>
  </si>
  <si>
    <t>incognito correcto, tracer sin averia</t>
  </si>
  <si>
    <t>CASO SIAC:</t>
  </si>
  <si>
    <t>BACK OFFICE FIJA HITSS
Solucionado/Cliente brinda Conformidad:</t>
  </si>
  <si>
    <t>BACK OFFICE FIJA HITSS
Con Visita Técnica
Problema:
Motivo:</t>
  </si>
  <si>
    <t>BACK OFFICE FIJA HITSS
Ciclo Cumplido/Sin Contacto:
Intentos de Llamada:3
Buzón de voz: -&gt;OBLIGATORIO DEJAR MENSAJE DE VOZ</t>
  </si>
  <si>
    <t>TRAMITE</t>
  </si>
  <si>
    <t>BACK OFFICE FIJA HITSS
Informativo/Avería Masiva
Contesta: SI/NO
Buzón de voz: SI/NO</t>
  </si>
  <si>
    <t>BACK OFFICE FIJA HITSS
Cliente con suspensión de servicios</t>
  </si>
  <si>
    <t xml:space="preserve">BACK OFFICE FIJA HITSS
Cliente dara de baja el servicio
</t>
  </si>
  <si>
    <t xml:space="preserve">BACK OFFICE FIJA HITSS
Numero no existe/Numero errado/Mal creado
</t>
  </si>
  <si>
    <t xml:space="preserve">BACK OFFICE FIJA HITSS
Cliente desiste de la atención
Motivo:
</t>
  </si>
  <si>
    <t xml:space="preserve">BACK OFFICE FIJA HITSS
Ciclo de llamada
Intentos de Llamada:1/2/3
Buzón de voz: -&gt;OBLIGATORIO DEJAR MENSAJE DE VOZ
</t>
  </si>
  <si>
    <t xml:space="preserve">BACK OFFICE FIJA HITSS
Cliente solicita devolución de llamada
</t>
  </si>
  <si>
    <t xml:space="preserve">BACK OFFICE FIJA HITSS
Derivado a conmutación-Correo                  (ADJUNTAR)
</t>
  </si>
  <si>
    <t xml:space="preserve">BACK OFFICE FIJA HITSS
Derivado a TI-Remedy
Motivo:
Remedy:
</t>
  </si>
  <si>
    <t xml:space="preserve">BACK OFFICE FIJA HITSS
Pendiente de envió de pruebas
Problema:
Motivo: **Derivación en Curso**
</t>
  </si>
  <si>
    <t>SOLUCIONADO ACCESO ALTA Y BAJA INCOGNITO &gt; Instalar ONT/CM</t>
  </si>
  <si>
    <t>SOLUCIONADO ACCESO CAMBIO DE RESOLUCIÓN SKYWAY</t>
  </si>
  <si>
    <t>SOLUCIONADO ACCESO CLEAN DATA SKYWAY</t>
  </si>
  <si>
    <t>SOLUCIONADO ACCESO FIJACIÓN DE IP</t>
  </si>
  <si>
    <t>SOLUCIONADO ACCESO PREFERENCES SKYWAY</t>
  </si>
  <si>
    <t>SOLUCIONADO ACCESO PROVISIÓN FIJA + CLEAN DATA SKYWAY</t>
  </si>
  <si>
    <t>SOLUCIONADO ACCESO PROVISIÓN FIJA &gt; ActivarGPONTV</t>
  </si>
  <si>
    <t>SOLUCIONADO ACCESO PROVISIÓN FIJA &gt; Instalar serialNumber STB</t>
  </si>
  <si>
    <t>SOLUCIONADO ACCESO PROVISIÓN FIJA &gt; REGENERAR IPTV</t>
  </si>
  <si>
    <t>SOLUCIONADO DESCARTES TÉCNICOS CAMBIO DE PILAS CONTROL REMOTO</t>
  </si>
  <si>
    <t>SOLUCIONADO DESCARTES TÉCNICOS CONEXIONES</t>
  </si>
  <si>
    <t>SOLUCIONADO DESCARTES TÉCNICOS PROBLEMAS EQUIPOS DEL CLIENTE</t>
  </si>
  <si>
    <t>SOLUCIONADO DESCARTES TÉCNICOS RESET FACTORY</t>
  </si>
  <si>
    <t>BO ATC - SOT DE MANTTO A SOLICITUD CLARO - CONMUTACIÓN</t>
  </si>
  <si>
    <t>BO ATC - SOT DE MANTTO A SOLICITUD CLARO - RED</t>
  </si>
  <si>
    <t>BO ATC - SOT DE MANTTO A SOLICITUD DEL CLIENTE</t>
  </si>
  <si>
    <t>BO ATC - SOT DE MANTTO NO FUNCIONA CONTROL REMOTO</t>
  </si>
  <si>
    <t>BO ATC - SOT DE MANTTO SIN SERVICIO GENERAL</t>
  </si>
  <si>
    <t>MENSAJE BUZÓN DE VOZ</t>
  </si>
  <si>
    <t>NO CONTACTO SIN CASILLA DE VOZ</t>
  </si>
  <si>
    <t>BO ATC - AVERÍA MASIVA EN EJECUCIÓN POST-CREACIÓN CASO</t>
  </si>
  <si>
    <t>BO ATC - AVERÍA MASIVA EN EJECUCIÓN PRE-CREACIÓN CASO(SIN LLAMADA)</t>
  </si>
  <si>
    <t>BO ATC - SERVICIO SUSPENDIDO POST-CREACIÓN CASO</t>
  </si>
  <si>
    <t>BO ATC - SERVICIO SUSPENDIDO PRE-CREACIÓN CASO(SIN LLAMADA)</t>
  </si>
  <si>
    <t xml:space="preserve">BO ATC - DERIVACIÓN INCORRECTA                                                                                       </t>
  </si>
  <si>
    <t xml:space="preserve">BO ATC - EMTA/ONT NO HOMOLOGADO EN SMARTHOME                                                                                          </t>
  </si>
  <si>
    <t xml:space="preserve">BO ATC - DUPLICIDAD DE CASO                                                                                                                          </t>
  </si>
  <si>
    <t xml:space="preserve">BO ATC - TIPIFICACIÓN INCORRECTA                                                                                                           </t>
  </si>
  <si>
    <t>BO ATC - PÁGINAS WEB BLOQUEADAS POR INDECOPI</t>
  </si>
  <si>
    <t>NA</t>
  </si>
  <si>
    <t>PROBLEMA_DETECTADO</t>
  </si>
  <si>
    <t>APPS</t>
  </si>
  <si>
    <t>#CLIENTE_SOLICITA_DEVOLUCION_DE_LLAMADA</t>
  </si>
  <si>
    <t>INFORMATIVO_AVERIA_MASIVA</t>
  </si>
  <si>
    <t>CLIENTE_CON_SUSPENSION_DE_SERVICIOS</t>
  </si>
  <si>
    <t>#DERIVADO_A_TI_REMEDY</t>
  </si>
  <si>
    <t>CLIENTE_DARA_DE_BAJA_EL_SERVICIO</t>
  </si>
  <si>
    <t>INFORMACION /DERIVACION ERRADA</t>
  </si>
  <si>
    <t>CICLO_DE_LLAMADA</t>
  </si>
  <si>
    <t>CLIENTE_CON_SOT_CREADA_POR_TERCEROS</t>
  </si>
  <si>
    <t>MOTIVO_SOLUCION</t>
  </si>
  <si>
    <t>DESCARTES_FISICOS_INTERNET</t>
  </si>
  <si>
    <t>DESCARTES_REMOTOS_INTERNET</t>
  </si>
  <si>
    <t>DESCARTES_FISICOS_IPTV</t>
  </si>
  <si>
    <t>DESCARTES_REMOTOS_IPTV</t>
  </si>
  <si>
    <t>DESCARTES_FISICOS_CABLE_DIGITAL</t>
  </si>
  <si>
    <t>DESCARTES_REMOTOS_CABLE_DIGITAL</t>
  </si>
  <si>
    <t>DESCARTES_FISICOS_TELEFONIA</t>
  </si>
  <si>
    <t>DESCARTES_REMOTOS_TELEFONIA</t>
  </si>
  <si>
    <t>GENERACION_SOT_BO</t>
  </si>
  <si>
    <t>GENERACION_SOT_SOLICITUD_CLIENTE</t>
  </si>
  <si>
    <t>AVERIA_MASIVA_POSIBLE_AVERIA</t>
  </si>
  <si>
    <t>VALIDACION_DE_LOS_EQUIPOS_DEL_CLIENTE</t>
  </si>
  <si>
    <t>EXPLICACIÓN_DE_USO_DEL_SERVICIO</t>
  </si>
  <si>
    <t>CLIENTE_NO_BRINDA_FACILIDADES</t>
  </si>
  <si>
    <t>WEB_APP_PLATAFORMAS_DE_ENTRETENIMIENTO</t>
  </si>
  <si>
    <t>INT - BAJA VELOCIDAD VIA CABLEADO (LENTITUD)</t>
  </si>
  <si>
    <t>TEL - SIN TONO</t>
  </si>
  <si>
    <t>IPTV - SIN CANALES</t>
  </si>
  <si>
    <t>CABLE - PANTALLA DE CARGA</t>
  </si>
  <si>
    <t>CLARO VIDEO - NO REGISTRADO</t>
  </si>
  <si>
    <t>BO ATC - CLIENTE SOLICITA DEVOLUCIÓN DE LLAMADA</t>
  </si>
  <si>
    <t>BO ATC - SEGUIMIENTO DE REQUERIMIENTO</t>
  </si>
  <si>
    <t>BO ATC - EMTA/ONT NO HOMOLOGADO EN SMARTHOME</t>
  </si>
  <si>
    <t>BO ATC - CICLO DE LLAMADA CUMPLIDO</t>
  </si>
  <si>
    <t>BO ATC - SOT MANTTO TERCEROS ATENDIDA PRE-CREACIÓN CASO</t>
  </si>
  <si>
    <t>VALIDACION DE CONEXIONES</t>
  </si>
  <si>
    <t>BAJA Y ALTA - SOT DE RECONEXION</t>
  </si>
  <si>
    <t>DESCARTES CON CONTROL REMOTO</t>
  </si>
  <si>
    <t>ACTUALIZACION DE CLARO TV</t>
  </si>
  <si>
    <t>ENVIO DE COMANDOS REFRESH + INIT</t>
  </si>
  <si>
    <t>ALINEACION DE CMTS</t>
  </si>
  <si>
    <t>SIN SERVICIO LOS ENCENDIDO</t>
  </si>
  <si>
    <t>COBERTURA WIFI - A SOLICITUD</t>
  </si>
  <si>
    <t>AVERIA MASIVA CON FLAG EN PLANO</t>
  </si>
  <si>
    <t>PROBLEMAS CON EQUIPOS DE CLIENTE - EQUIPOS DE COMPUTO</t>
  </si>
  <si>
    <t>DEBE CONECTAR SU SMART TV VIA CABLEADO</t>
  </si>
  <si>
    <t>CLIENTE NO CONTESTA/CON BUZON DE VOZ</t>
  </si>
  <si>
    <t>EXPLICACION - NO CORRESPONDE SERVICIO ADICIONAL</t>
  </si>
  <si>
    <t>INT - BAJA VELOCIDAD VIA WIFI (LENTITUD)</t>
  </si>
  <si>
    <t xml:space="preserve">TEL - NO PUEDE REALIZAR LLAMADAS </t>
  </si>
  <si>
    <t>IPTV - NO VISUALIZA ALGUNOS CANALES</t>
  </si>
  <si>
    <t>CABLE - PANTALLA NEGRA</t>
  </si>
  <si>
    <t>CLARO VIDEO - NO PUEDE ACCEDER A CLARO VIDEO - DISPOSITIVO</t>
  </si>
  <si>
    <t>BO ATC - LLAMADA PROGRAMADA POR DISPONIBILIDAD CLIENTE</t>
  </si>
  <si>
    <t>BO ATC - AVERÍA MASIVA EN EJECUCIÓN PRE-CREACIÓN CASO</t>
  </si>
  <si>
    <t>BO ATC - SERVICIO SUSPENDIDO PRE-CREACIÓN CASO</t>
  </si>
  <si>
    <t>BO ATC - PROBLEMAS EN EL ACCESO A PÁGINAS WEB</t>
  </si>
  <si>
    <t>BO ATC - DUPLICIDAD DE CASO</t>
  </si>
  <si>
    <t>BO ATC - CICLO DE LLAMADA</t>
  </si>
  <si>
    <t>BO ATC - SOT MANTTO TERCEROS EN EJECUCIÓN PRE-CREACIÓN CASO</t>
  </si>
  <si>
    <t>REINICIO MANUAL - EQUIPOS DEL CLIENTE</t>
  </si>
  <si>
    <t>REINICIO DE SISTEMA - SOT DE RECONEXION</t>
  </si>
  <si>
    <t>BORRAR DATOS CON EL CONTROL REMOTO</t>
  </si>
  <si>
    <t>REINCIO MANUAL DEL DECODIFICADOR</t>
  </si>
  <si>
    <t>DESCARTES CON LAS BOTONERAS</t>
  </si>
  <si>
    <t>ALINEACION DE ETIQUETAS</t>
  </si>
  <si>
    <t>DESCARTES SIN SOLUCION</t>
  </si>
  <si>
    <t>NO BRINDA FACILIDADES</t>
  </si>
  <si>
    <t>AVERIA MASIVA - PLANO TOTALMENTE CAIDO</t>
  </si>
  <si>
    <t>PROBLEMAS CON EQUIPOS DE CLIENTE - EQUIPOS MOVILES</t>
  </si>
  <si>
    <t>EXPLICACION DE LA DIFERENCIA DE AMBAS REDES 2.4GHZ Y 5GHZ</t>
  </si>
  <si>
    <t>CLIENTE NO CONTESTA/SIN BUZON DE VOZ</t>
  </si>
  <si>
    <t>PROBLEMA CON NETFLIX - SOLUCIONADO</t>
  </si>
  <si>
    <t>INT - VELOCIDAD MENOR A LA CONTRATADA</t>
  </si>
  <si>
    <t>TEL - NO PUEDE RECIBIR LLAMADAS</t>
  </si>
  <si>
    <t>IPTV - DESALINEADO EN SISTEMAS</t>
  </si>
  <si>
    <t>CABLE - PROBLEMAS CON CONTROL REMOTO</t>
  </si>
  <si>
    <t>CLARO VIDEO - NO PUEDE ACCEDER A CLARO VIDEO - AMCO</t>
  </si>
  <si>
    <t>BO ATC - DERIVADO A RED</t>
  </si>
  <si>
    <t>BO ATC - TIPIFICACIÓN INCORRECTA</t>
  </si>
  <si>
    <t>BO ATC - SOT MANTTO TERCEROS ATENDIDA POST-CREACIÓN CASO</t>
  </si>
  <si>
    <t xml:space="preserve">REINICIO MODO FABRICA - MANUAL </t>
  </si>
  <si>
    <t>REINICIO POR SISTEMA</t>
  </si>
  <si>
    <t>VALIDACION CON LAS TOMAS ELECTRICAS</t>
  </si>
  <si>
    <t>REINCIO CON EL CONTROL REMOTO</t>
  </si>
  <si>
    <t>RESETEO CON EL CONTROL REMOTO</t>
  </si>
  <si>
    <t>VALIDACION ESTADO DE ROSETA</t>
  </si>
  <si>
    <t>ALINEACION CBIO</t>
  </si>
  <si>
    <t>FLAG EQUIPO RECOMENDABLE PARA PAQUETE CONTRATADO</t>
  </si>
  <si>
    <t>VELOCIDAD CONTRATADA - A SOLICITUD</t>
  </si>
  <si>
    <t>AVERIA NO PUBLICADA - EN TRACER TIENE INC/CRQ/WO</t>
  </si>
  <si>
    <t>PROBLEMAS CON EQUIPOS DE CLIENTE - SMART TV</t>
  </si>
  <si>
    <t>EXPLICACION DE LOS CANALES CONTRATADOS</t>
  </si>
  <si>
    <t>CLIENTE SE ENCUENTRA DE VIAJE</t>
  </si>
  <si>
    <t>REINICIO DE CONTRASEÑA (ENVIO DE LINK)</t>
  </si>
  <si>
    <t>INT - NAVEGACION LENTA EN TODAS LAS PAGINAS</t>
  </si>
  <si>
    <t>TEL - RUIDO/INTERFERENCIA</t>
  </si>
  <si>
    <t>IPTV - PARAMETROS DESALINEADOS EN SKYWAY</t>
  </si>
  <si>
    <t>CABLE - SIN CANALES</t>
  </si>
  <si>
    <t>CLARO VIDEO - CORREO MAL ASOCIADO</t>
  </si>
  <si>
    <t>BO ATC - LÍNEA CON BOLSA INCORRECTA EN CBIO</t>
  </si>
  <si>
    <t>BO ATC - SOT MANTTO TERCEROS EN EJECUCIÓN POST-CREACIÓN CASO</t>
  </si>
  <si>
    <t>BAJA Y ALTA SGA</t>
  </si>
  <si>
    <t>SE PROCESO CLEAR DATA CON SKYWAY</t>
  </si>
  <si>
    <t>PROBLEMAS CON ADAPTADOR</t>
  </si>
  <si>
    <t>ALINEACION DE IDENTIFICADORES</t>
  </si>
  <si>
    <t>VALIDACION DE PUERTO</t>
  </si>
  <si>
    <t>VALIDACION DE BOLSA DE MINUTOS</t>
  </si>
  <si>
    <t>SCHAMAN - CAMBIO DE EQUIPO 3.1</t>
  </si>
  <si>
    <t>ADULTO DE TERCERA EDAD</t>
  </si>
  <si>
    <t>AVERIA PUBLICADO ANTES DEL CASO</t>
  </si>
  <si>
    <t>PROBLEMAS CON REPETIDOR PARTICULAR</t>
  </si>
  <si>
    <t>DEBE REALIZAR EL TEST VIA CABLEADO</t>
  </si>
  <si>
    <t>CLIENTE NO DESEA LA ATENCIÓN</t>
  </si>
  <si>
    <t>CAMBIO DE CORREO FAKE</t>
  </si>
  <si>
    <t>INT - INTERMITENCIA EN RANGOS HORARIOS CABLEADO</t>
  </si>
  <si>
    <t>TEL - BOLSA DE MINUTOS DESCONFIGURADA</t>
  </si>
  <si>
    <t xml:space="preserve">IPTV - RESOLUCION BAJA </t>
  </si>
  <si>
    <t>CABLE - CALIDAD PROBLEMAS CON CANALES</t>
  </si>
  <si>
    <t>CLARO VIDEO - DESALINEADO EN BASE MEXICO</t>
  </si>
  <si>
    <t>BO ATC - CLARO VIDEO SUSCRIPCIONES INCORRECTAS</t>
  </si>
  <si>
    <t>REINICIO MANUAL EMTA/ONT</t>
  </si>
  <si>
    <t>VERIFICACION DE PORTADORAS</t>
  </si>
  <si>
    <t>SE PROCESO REBOOT CON SKYWAY</t>
  </si>
  <si>
    <t>BAJA Y ALTA SGA - DECOS</t>
  </si>
  <si>
    <t>VALIDACION DE BOLSA DE MINUTOS MULTIDESTINOS</t>
  </si>
  <si>
    <t>FLAG IN HOUSE</t>
  </si>
  <si>
    <t>CLIENTE SOLICITA LA BAJA</t>
  </si>
  <si>
    <t>AVERIA PUBLICADO DESPUES DEL CASO</t>
  </si>
  <si>
    <t>TARJETA DE RED (PC, LAPTOP, ETC) NO TIENE LA VELOCIDAD 1000/1000 (MBPS)</t>
  </si>
  <si>
    <t>EXPLICACION DEL BONO FULL CLLARO</t>
  </si>
  <si>
    <t>CLIENTE NO ACEPTA LA SOLUCION</t>
  </si>
  <si>
    <t>BORRADO DE DATOS APP CLARO VIDEO</t>
  </si>
  <si>
    <t>CLIENTE_SOLICITA_DEVOLUCION_DE_LLAMADA</t>
  </si>
  <si>
    <t>INT - INTERMITENCIA EN RANGOS HORARIOS WIFI</t>
  </si>
  <si>
    <t>TEL - NO PUEDE REALIZAR LLAMADAS INTERNACIONALES</t>
  </si>
  <si>
    <t>IPTV - SIN VOLUMEN</t>
  </si>
  <si>
    <t>CABLE - SIN VOLUMEN</t>
  </si>
  <si>
    <t>CLARO VIDEO - DESALINEADO EN BASE PERU</t>
  </si>
  <si>
    <t>BO ATC - NO VISUALIZA ALGUNOS CANALES PLAN TV FLEX</t>
  </si>
  <si>
    <t>ACTUALIZACION DE FIRMWARE</t>
  </si>
  <si>
    <t>ACTUALIZACIÓN DE FIRMWARE</t>
  </si>
  <si>
    <t>REINICIO DE ONT/EMTA</t>
  </si>
  <si>
    <t>IPTV - DECO VIA WIFI</t>
  </si>
  <si>
    <t>PROBLEMAS CON ADAPTADOR HDMI</t>
  </si>
  <si>
    <t>EXPLICACION DEL USO CORRECTO DEL CONTROL REMOTO</t>
  </si>
  <si>
    <t>CLIENTE CORTA LA LLAMADA EN PLENO DESCARTE</t>
  </si>
  <si>
    <t>RECREACION DE CUENTA CLARO VIDEO</t>
  </si>
  <si>
    <t>INT - DESCONEXIONES FRECUENTES</t>
  </si>
  <si>
    <t>TEL - NO PUEDE RECIBIR LLAMADAS INTERNACIONALES</t>
  </si>
  <si>
    <t>IPTV - CONTROL DESINCRONIZADO</t>
  </si>
  <si>
    <t>CABLE - RESOLUCION DE CANALES</t>
  </si>
  <si>
    <t>CLARO VIDEO - PROBLEMAS CON CORREO DEL CLIENTE</t>
  </si>
  <si>
    <t>BO ATC - CLARO VIDEO NO REGISTRADO EN AMCO</t>
  </si>
  <si>
    <t>REMOTO - CAMBIO DE CHANNEL</t>
  </si>
  <si>
    <t>ALINEACIÓN DE FICHAS EN SGA</t>
  </si>
  <si>
    <t>ALINEACION DE CALL_BARRING_TYPE</t>
  </si>
  <si>
    <t xml:space="preserve">REPETIDOR MESH SIN CABLEAR </t>
  </si>
  <si>
    <t>PROBLEMAS CON CABLE ETHERNET</t>
  </si>
  <si>
    <t>EXPLICACIÓN SOBRE COBERTURA WIFI - SE OFRECE MESH NO ACEPTA</t>
  </si>
  <si>
    <t>CLIENTE SOLICITA REPROGRAMAR LA ATENCION</t>
  </si>
  <si>
    <t>REASIGNACION DE CUENTA EN USO</t>
  </si>
  <si>
    <t>INT - SIN SERVICIO</t>
  </si>
  <si>
    <t xml:space="preserve">TEL - INTERLOCUCION </t>
  </si>
  <si>
    <t>IPTV - CONTROL REMOTO NO FUNCIONA</t>
  </si>
  <si>
    <t>CABLE - CONEXIONES/TOMACORRIENTE</t>
  </si>
  <si>
    <t>CLARO VIDEO - L1 MAX NO ACTIVADO</t>
  </si>
  <si>
    <t>BO ATC - LIGA 1 ADDONS NO PROVISIONADA - CLARO VIDEO</t>
  </si>
  <si>
    <t>REMOTO - CAMBIO DE CLAVE/SSID DE WIFI</t>
  </si>
  <si>
    <t>VINCULACION CONTROL REMOTO</t>
  </si>
  <si>
    <t>ALINEACION DE CALL_FEATURES:</t>
  </si>
  <si>
    <t xml:space="preserve">REPETIDOR PLUME SIN CABLEAR </t>
  </si>
  <si>
    <t>EXPLICACIÓN SOBRE UBICACION DE LOS EQUIPOS</t>
  </si>
  <si>
    <t>CLIENTE SOLICITARA LA BAJA</t>
  </si>
  <si>
    <t>REGISTRO DE CUENTA</t>
  </si>
  <si>
    <t>INT - INTERNET NO FUNCIONA EN UN SOLO EQUIPO</t>
  </si>
  <si>
    <t>TEL - INFORMACION DE USO</t>
  </si>
  <si>
    <t>IPTV - CALIDAD PROBLEMA CON CANALES</t>
  </si>
  <si>
    <t>CABLE - PROBLEMAS CON DECODIFICADOR</t>
  </si>
  <si>
    <t>CLARO VIDEO - HBO NO ACTIVO/REGISTRADO</t>
  </si>
  <si>
    <t>BO ATC - NO VISUALIZA ALGUNOS CANALES PLAN HDTV BASICO DIGITAL</t>
  </si>
  <si>
    <t>REMOTO - RED WIFI OCULTA</t>
  </si>
  <si>
    <t>DESBLOQUEO DE CANAL</t>
  </si>
  <si>
    <t>PROBLEMAS FISICOS</t>
  </si>
  <si>
    <t>SERVICIO RESTABLECIDO/ESTABLE (OK EN LINEA)</t>
  </si>
  <si>
    <t>NUMERO_NO_EXISTE_NUMERO_ERRADO_MAL_CREADO</t>
  </si>
  <si>
    <t>INT - COBERTURA WIFI</t>
  </si>
  <si>
    <t>TEL - CONEXIONES</t>
  </si>
  <si>
    <t>IPTV - CANALES PIXELADOS</t>
  </si>
  <si>
    <t>CABLE - AV/HDMI DESCONFIGURADO</t>
  </si>
  <si>
    <t>CLARO VIDEO - TV EN VIVO:CANAL NO DISONIBLE</t>
  </si>
  <si>
    <t>BO ATC - NO ACTUALIZA CORREO- MICLARO</t>
  </si>
  <si>
    <t>REMOTO - RESETEO MODO FABRICA</t>
  </si>
  <si>
    <t>ALINEACIÓN AMCO</t>
  </si>
  <si>
    <t>CONFIGURACION WIFI SIN SOLUCION</t>
  </si>
  <si>
    <t>DERIVADO_A_TI_REMEDY</t>
  </si>
  <si>
    <t>INT - PROBLEMAS CON CONEXIONES CLARO</t>
  </si>
  <si>
    <t>TEL - NO REGISTRADO EN LA CBIO</t>
  </si>
  <si>
    <t>IPTV - CANAL BLOQUEADO</t>
  </si>
  <si>
    <t>CABLE - CANALES FUERA DE GRILLA</t>
  </si>
  <si>
    <t>CLARO VIDEO - PANTALLA NEGRA</t>
  </si>
  <si>
    <t>BO ATC - INCONVENIENTE ACCESO REMOTO CONFIGURACIÓN WIFI HG8245W5-6T</t>
  </si>
  <si>
    <t>REMOTO - SOLICITA SEPARACION DE BANDAS WIFI</t>
  </si>
  <si>
    <t>TRAFICO CANALES DE YOUBORA</t>
  </si>
  <si>
    <t>PROBLEMAS CON REPETIDOR</t>
  </si>
  <si>
    <t>INFORMACION_DERIVACION_ERRADA</t>
  </si>
  <si>
    <t xml:space="preserve">INT - PROBLEMAS CON PAGINAS </t>
  </si>
  <si>
    <t>TEL - SERVICIO INTERMITENTE</t>
  </si>
  <si>
    <t>IPTV - PROBLEMAS FISICOS CON DECODIFICADOR</t>
  </si>
  <si>
    <t>CABLE - IMAGEN PIXELADA</t>
  </si>
  <si>
    <t>CLARO VIDEO - REGISTRO FALLIDO</t>
  </si>
  <si>
    <t>BO ATC - LENTITUD PARA ACCEDER ESCRITORIO REMOTO CLARO</t>
  </si>
  <si>
    <t>REMOTO - UNIFICACION DE BANDAS WIFI</t>
  </si>
  <si>
    <t>CONFIGURACIÓN DE VOLUMEN</t>
  </si>
  <si>
    <t>PROBLEMAS CON CONTROL REMOTO</t>
  </si>
  <si>
    <t>INT - REINICIOS CONSTANTES</t>
  </si>
  <si>
    <t>TEL - LINEA OCUPADA</t>
  </si>
  <si>
    <t>IPTV - CONEXIONES/TOMACORRIENTE</t>
  </si>
  <si>
    <t>CABLE - PANTALLA AZUL</t>
  </si>
  <si>
    <t>CLARO VIDEO - SUSCRIPCION NO REFLEJADA</t>
  </si>
  <si>
    <t>IPTV - PAQUETES NO PROVISIONADOS EN IOTDB</t>
  </si>
  <si>
    <t>TR069 - CAMBIO DE CHANNEL</t>
  </si>
  <si>
    <t>CONFIGURACIÓN DE RESOLUCIÓN</t>
  </si>
  <si>
    <t>REPETIDOR MESH COMO SOLUCION</t>
  </si>
  <si>
    <t>INT - NIVELES FUERA DE RANGO</t>
  </si>
  <si>
    <t>TEL - NO PUEDE REALIZAR LLAMADAS LOCALES</t>
  </si>
  <si>
    <t>IPTV - HDMI DESCONFIGURADO</t>
  </si>
  <si>
    <t>CABLE - PANTALLA VERDE</t>
  </si>
  <si>
    <t>CLARO VIDEO - USUARIO O CONTRASEÑA INCORRECTOS</t>
  </si>
  <si>
    <t>IPTV - EQUIPOS NO PROVISIONADOS EN IOTDB</t>
  </si>
  <si>
    <t>TR069 - CAMBIO DE CLAVE/SSID DE WIFI</t>
  </si>
  <si>
    <t>A SOLICITUD DE CLARO</t>
  </si>
  <si>
    <t>INT - WIFI NO LLEGA A DETERMINADAS ZONAS</t>
  </si>
  <si>
    <t>TEL - NO PUEDE REALIZAR LLAMADAS NACIONALES</t>
  </si>
  <si>
    <t>IPTV - PANTALLA NEGRA</t>
  </si>
  <si>
    <t>CABLE - DESFASE AUDIO/VIDEO</t>
  </si>
  <si>
    <t>CLARO VIDEO - OLVIDO DE CONTRASEÑA</t>
  </si>
  <si>
    <t>BO ATC- CLARO VIDEO PROBLEMAS DE SUSCRIPCION</t>
  </si>
  <si>
    <t>TR069 - RED WIFI OCULTA</t>
  </si>
  <si>
    <t>INT - PROBLEMAS CON WIFI 2.4 GHZ</t>
  </si>
  <si>
    <t>TEL - NO PUEDE REALIZAR LLAMADAS CIERTO OPERADORES</t>
  </si>
  <si>
    <t>IPTV - SERVICIO INTERMITENTE</t>
  </si>
  <si>
    <t xml:space="preserve">CABLE - PROBLEMAS CON ADAPTADOR </t>
  </si>
  <si>
    <t>CLARO VIDEO - CUENTA BLOQUEADA</t>
  </si>
  <si>
    <t>BO ATC - LÍNEA NO REGISTRADA EN CBIO</t>
  </si>
  <si>
    <t>ZTE - CAMBIO DE CLAVE/SSID WIFI</t>
  </si>
  <si>
    <t>INT - PROBLEMAS CON  WIFI 5 GHZ</t>
  </si>
  <si>
    <t>TEL - ECO EN LLAMADAS</t>
  </si>
  <si>
    <t>IPTV - CANALES FUERA DE LA GRILLA</t>
  </si>
  <si>
    <t>CLARO VIDEO - ERROR DE INICIO DE SESION</t>
  </si>
  <si>
    <t>BO ATC - DESALINEACION OCSI</t>
  </si>
  <si>
    <t>ZTE - SOLICITA SEPARACION DE BANDAS WIFI</t>
  </si>
  <si>
    <t>INT - PROBLEMAS CON APLICACIONES</t>
  </si>
  <si>
    <t>TEL - BAJO VOLUMEN</t>
  </si>
  <si>
    <t>IPTV - DESFASE ENTRE AUDIO Y VIDEO</t>
  </si>
  <si>
    <t>CLARO VIDEO - CORREO NO RECIBE RESTABLECIMIENTO DE CONTRASEÑA</t>
  </si>
  <si>
    <t>APP SMART HOME - DISPOSITIVOS CONECTADOS - ERROR AL CARGAR LOS DISPOSITIVOS CONECTADOS</t>
  </si>
  <si>
    <t>ZTE - UNIFICACION DE BANDAS WIFI</t>
  </si>
  <si>
    <t>INT - ERROR DNS</t>
  </si>
  <si>
    <t>TEL - CABLE TELEFONICO DAÑADO</t>
  </si>
  <si>
    <t>IPTV - PANTALLA AZUL</t>
  </si>
  <si>
    <t>CLARO VIDEO - ERROR DE REPRODUCCION</t>
  </si>
  <si>
    <t>BO ATC - SUSCRIPCIONES INCOMPLETAS</t>
  </si>
  <si>
    <t>PLUME - CAMBIO DE CLAVE/SSID DE WIFI</t>
  </si>
  <si>
    <t>INT - LATENCIA ALTA (PING ELEVADO)</t>
  </si>
  <si>
    <t>TEL - PROBLEMAS EN ROSETA TELEFONICA</t>
  </si>
  <si>
    <t>IPTV - PANTALLA VERDE</t>
  </si>
  <si>
    <t>CLARO VIDEO - VIDEO NO CARGA</t>
  </si>
  <si>
    <t>BO ATC - SIN E. INCOGNITO / ACTIVO SIAC (SGA TRANSLATOR)</t>
  </si>
  <si>
    <t>PLUME - EXPLICACION QUE LAS BANDAS UNIFICADAS</t>
  </si>
  <si>
    <t>INT - PERDIDA DE PAQUETES</t>
  </si>
  <si>
    <t>TEL - FALLA EN PUERTO TELEFONICO</t>
  </si>
  <si>
    <t>IPTV - AUDIO DISTORSIONADO</t>
  </si>
  <si>
    <t>CLARO VIDEO - CATALOGO INCOMPLETO</t>
  </si>
  <si>
    <t>IPTV - EQUIPOS Y PAQUETES NO PROVISIONADOS EN IOTDB</t>
  </si>
  <si>
    <t>PLUME - OPTIMIZACION/SINCRONIZAR EQUIPO</t>
  </si>
  <si>
    <t>IPTV - AUDIO EN OTRO IDIOMA</t>
  </si>
  <si>
    <t>CLARO VIDEO - CONTENIDO NO DISPONIBLE EN LA REGION</t>
  </si>
  <si>
    <t>BO ATC - SUSCRIPCIONES INCORRECTAS</t>
  </si>
  <si>
    <t>PLUME - RECREACION DE NODOS O EQUIPOS</t>
  </si>
  <si>
    <t>INT - REPETIDOR MESH</t>
  </si>
  <si>
    <t>TEL - IDENTIFICADOR DE LLAMADAS</t>
  </si>
  <si>
    <t>IPTV - REAPROVISIONAMIENTO DEL SERVICIO</t>
  </si>
  <si>
    <t>CLARO VIDEO - LIMITE DE DISPOSITIVOS ALCANZADO</t>
  </si>
  <si>
    <t>BO ATC - ERROR CON ACTIVACIÓN DE BOUQUETS</t>
  </si>
  <si>
    <t>TRACER - TRAFICO DE CONSUMO</t>
  </si>
  <si>
    <t>INT - PLUME DESALINEADO</t>
  </si>
  <si>
    <t>TEL - BUZON DE VOZ</t>
  </si>
  <si>
    <t>IPTV - YOUTUBE NO FUNCIONA</t>
  </si>
  <si>
    <t>CLARO VIDEO - DISPOSITIVO NO COMPATIBLE</t>
  </si>
  <si>
    <t>BO ATC - SERVICIO CON TECNOLOGIA ERRADA</t>
  </si>
  <si>
    <t>INT - PROBLEMAS CON PLUME</t>
  </si>
  <si>
    <t>TEL - PORTABILIDAD EN PROCESO</t>
  </si>
  <si>
    <t>IPTV - NETFLIX NO FUNCIONA</t>
  </si>
  <si>
    <t>CLARO VIDEO - ERROR AL ACTUALIZAR APLICACION</t>
  </si>
  <si>
    <t>BO CN - INCOGNITO SUSPENDIDO / SGA ACTIVO</t>
  </si>
  <si>
    <t>INT - MODEM NO ENCIENDE</t>
  </si>
  <si>
    <t>TEL - SUSPENSION DEL SERVICIO</t>
  </si>
  <si>
    <t>IPTV - ERROR DE INICIO DE SESION</t>
  </si>
  <si>
    <t>CLARO VIDEO - COBRO INCORRECTO</t>
  </si>
  <si>
    <t>BO ATC - REFRESH / INIT DECODIFICADOR(ES)</t>
  </si>
  <si>
    <t>INT - MODEM CON LUCES ANORMALES</t>
  </si>
  <si>
    <t>IPTV - CANAL 2 Y 4 NO EXISTEN</t>
  </si>
  <si>
    <t>CLARO VIDEO - BENEFICIO NO REFLEJADO</t>
  </si>
  <si>
    <t>INT - FALLA EN PUERTOS LAN</t>
  </si>
  <si>
    <t>IPTV - RETORNA A CANAL 1</t>
  </si>
  <si>
    <t>SMARTHOME - NO PUEDE INICIAR SESION</t>
  </si>
  <si>
    <t>BO ATC - PENDIENTE PROCESO SOT DE CONTINGENCIA</t>
  </si>
  <si>
    <t>ASESORES</t>
  </si>
  <si>
    <t>Usuarios id</t>
  </si>
  <si>
    <t>INT -  USO INADECUADO DE EQUIPOS</t>
  </si>
  <si>
    <t>IPTV - PROBLEMAS CON LA GUIA DE CANALES</t>
  </si>
  <si>
    <t>SMARTHOME - USUARIO NO REGISTRADO</t>
  </si>
  <si>
    <t>BO ATC - NO FIGURA PLANO EN TX AUTOMÁTICA - MIGRACIÓN TECNOLÓGICA</t>
  </si>
  <si>
    <t>ALLER SSILEM BREIBAT RODRIGUEZ</t>
  </si>
  <si>
    <t>E759946</t>
  </si>
  <si>
    <t>INT - LENTITUD E INTERMITENCIA EN VIDEOJUEGOS</t>
  </si>
  <si>
    <t>IPTV - SINCRONIZACION DE VOLUMEN</t>
  </si>
  <si>
    <t>SMARTHOME - OLVIDO DE CONTRASEÑA</t>
  </si>
  <si>
    <t>BO ATC - LIBERAR FRANJA HORARIA</t>
  </si>
  <si>
    <t xml:space="preserve">EDIL BOLAÑOS ARANDA </t>
  </si>
  <si>
    <t>E759945</t>
  </si>
  <si>
    <t>INT - CORTES EN VIDEOLLAMADAS</t>
  </si>
  <si>
    <t>SMARTHOME - CUENTA BLOQUEADA</t>
  </si>
  <si>
    <t>BO ATC - NO FIGURA PLANO EN TX AUTOMÁTICA - TRASLADO EXTERNO</t>
  </si>
  <si>
    <t>LUIS ALBERTO FUCHS CALLISAYA</t>
  </si>
  <si>
    <t>E760119</t>
  </si>
  <si>
    <t>INT - BAJA CALIDAD DE VIDEO</t>
  </si>
  <si>
    <t>SMARTHOME - ERROR DE AUTENTICACION</t>
  </si>
  <si>
    <t>BO ATC - PENDIENTE MODIFICAR FECHA DE RECONEXIÓN ASC</t>
  </si>
  <si>
    <t>BRANDON MIGUEL RODRIGUEZ QUISPE</t>
  </si>
  <si>
    <t>E759920</t>
  </si>
  <si>
    <t>INT - CAMBIO DE CLAVE WIFI Y NOMBRE WIFI (SSID)</t>
  </si>
  <si>
    <t>SMARTHOME - NO PUEDE DESCARGAR LA APLICACION</t>
  </si>
  <si>
    <t>BO ATC - PENDIENTE PROCESO IFI</t>
  </si>
  <si>
    <t>LUIS ANGEL MANUEL ELIAS TRIGOSO</t>
  </si>
  <si>
    <t>E760156</t>
  </si>
  <si>
    <t>INT - DISPOSITIVOS NO SE CONECTAN AL WIFI</t>
  </si>
  <si>
    <t>SMARTHOME - ERROR AL INSTALAR LA APLICACION</t>
  </si>
  <si>
    <t>BO ATC - ERROR AL CREAR LA INTERACCIÓN "EL TELÉFONO NO EXISTE"</t>
  </si>
  <si>
    <t>ROLANDO HUACCACHI PALOMINO</t>
  </si>
  <si>
    <t>E759943</t>
  </si>
  <si>
    <t>SMARTHOME - DISPOSITIVO NO COMPATIBLE</t>
  </si>
  <si>
    <t>BO ATC - DESALINEACION UDB</t>
  </si>
  <si>
    <t>RONNIE CORDOVA ROMAN</t>
  </si>
  <si>
    <t>E760159</t>
  </si>
  <si>
    <t>INT - INFORMACION DE USO</t>
  </si>
  <si>
    <t>SMARTHOME - NO PUEDE CAMBIAR NOMBRE WIFI</t>
  </si>
  <si>
    <t>BO ATC - DERIVADO CONSULTA ALÁMBRICO</t>
  </si>
  <si>
    <t>DANY DANIEL HERNÁNDEZ MORALES</t>
  </si>
  <si>
    <t>E761035</t>
  </si>
  <si>
    <t>SMARTHOME - NO PUEDE CAMBIAR CLAVE WIFI</t>
  </si>
  <si>
    <t>BO ATC - CLARO VIDEO CAMBIO DE MAIL</t>
  </si>
  <si>
    <t>JOSEMARIA AGUILAR DIAZ</t>
  </si>
  <si>
    <t>E759885</t>
  </si>
  <si>
    <t>SMARTHOME - NO PUEDE APAGAR/ENCENDER WIFI</t>
  </si>
  <si>
    <t>BO ATC - NO VISUALIZA TV EN VIVO - CLARO VIDEO</t>
  </si>
  <si>
    <t xml:space="preserve">MARCO JAIR NEVADO ESTRADA </t>
  </si>
  <si>
    <t>E761037</t>
  </si>
  <si>
    <t>SMARTHOME - NO VISUALIZA DISPOSITIVOS CONECTADOS</t>
  </si>
  <si>
    <t>BO ATC - PENDIENTE PROCESO DTH - LTE</t>
  </si>
  <si>
    <t>E760146</t>
  </si>
  <si>
    <t>SMARTHOME - NO PUEDE REINICIAR ROUTER</t>
  </si>
  <si>
    <t>BO ATC - NO ACTUALIZA NUMERO - MICLARO</t>
  </si>
  <si>
    <t>LUAN ALEJANDRA FUENTES ORTIZ</t>
  </si>
  <si>
    <t>E761189</t>
  </si>
  <si>
    <t>SMARTHOME - NO FUNCIONAN LOS DESCARTES TECNICOS</t>
  </si>
  <si>
    <t>ERNAN FREYRE GUARNIZ SALDAÑA</t>
  </si>
  <si>
    <t>E761115</t>
  </si>
  <si>
    <t>SMARTHOME - NO VISUALIZA LOS DECODIFICADORES</t>
  </si>
  <si>
    <t>HECTOR ARMANDO POMA HERNANDEZ</t>
  </si>
  <si>
    <t>E760639</t>
  </si>
  <si>
    <t>SMARTHOME - NO PUEDE REINICIAR EL DECODIFICADOR</t>
  </si>
  <si>
    <t>JORD DAVID MILLA GONZALES</t>
  </si>
  <si>
    <t>E760919</t>
  </si>
  <si>
    <t>SMARTHOME - NO PUEDE CAMBIAR EL NOMBRE DEL DECO</t>
  </si>
  <si>
    <t>KATHERINE RUTH ATIRRO ROLDAN</t>
  </si>
  <si>
    <t>E761345</t>
  </si>
  <si>
    <t>SMARTHOME - NO CARGAN LOS DESCARTES DE TV</t>
  </si>
  <si>
    <t>NICOLAS ARTURO CHUMPITAZ SAC</t>
  </si>
  <si>
    <t>E761116</t>
  </si>
  <si>
    <t>SMARTHOME - GUIA DE CANALES NO DISPONIBLE</t>
  </si>
  <si>
    <t>OLINDA PALOMINO LICAS</t>
  </si>
  <si>
    <t>E760097</t>
  </si>
  <si>
    <t>SMARTHOME - CONTROL REMOTO NO DISPONIBLE</t>
  </si>
  <si>
    <t>YESICA ESPINOZA GUTIERREZ</t>
  </si>
  <si>
    <t>E761025</t>
  </si>
  <si>
    <t>SMARTHOME - NO CARGAN DESCARTES DE TELEFONIA</t>
  </si>
  <si>
    <t>ANABEL NICOL NOREÑA CONDORI</t>
  </si>
  <si>
    <t>E760148</t>
  </si>
  <si>
    <t>SMARTHOME - NO VISUALIZA GUIA DE TELEFONIA</t>
  </si>
  <si>
    <t>DANIELA FERNANDA GONZALEZ VÁSQUEZ</t>
  </si>
  <si>
    <t>E759921</t>
  </si>
  <si>
    <t>SMARTHOME - NO MUESTRA CABLEADO TELEFONICO</t>
  </si>
  <si>
    <t>DAVID PÉREZ ÑAHUE</t>
  </si>
  <si>
    <t>E760606</t>
  </si>
  <si>
    <t>SMARTHOME - NO VISUALIZA VISITA TECNICA</t>
  </si>
  <si>
    <t>FABRICIO RODRIGO TELLO REVATTA</t>
  </si>
  <si>
    <t>E759925</t>
  </si>
  <si>
    <t>SMARTHOME - NO PUEDE REPROGRAMAR VISITA</t>
  </si>
  <si>
    <t>FERNANDO ARAGON RETAMOZO</t>
  </si>
  <si>
    <t>E760385</t>
  </si>
  <si>
    <t>SMARTHOME - NO PUEDE CANCELAR VISITA</t>
  </si>
  <si>
    <t>FRANCIS MELISSA VARGAS COLLAHUA</t>
  </si>
  <si>
    <t>E760116</t>
  </si>
  <si>
    <t>SMARTHOME - TRACKING NO DISPONIBLE</t>
  </si>
  <si>
    <t>JOHANA CANDELA PEÑA VALENCIA</t>
  </si>
  <si>
    <t>E759934</t>
  </si>
  <si>
    <t>SMARTHOME - TECNICO NO FIGURA EN LA APLICACION</t>
  </si>
  <si>
    <t>JUAN JOSE DE LA CRUZ RAMOS</t>
  </si>
  <si>
    <t>SMARTHOME - SERVICIO FIGURA NO CONECTADO</t>
  </si>
  <si>
    <t>ROBERTO SEBASTIAN MAGINO LLAMCCE</t>
  </si>
  <si>
    <t>E759887</t>
  </si>
  <si>
    <t>SMARTHOME - SERVICIO FIGURA SUSPENDIDO</t>
  </si>
  <si>
    <t>FELIX ANDRES RAMOS LOZANO</t>
  </si>
  <si>
    <t>E761198</t>
  </si>
  <si>
    <t>SMARTHOME - SERVICIO FIGURA CON AVERIA MASIVA</t>
  </si>
  <si>
    <t>JAIR AAROM MATOS CARAMUTTI</t>
  </si>
  <si>
    <t>E759886</t>
  </si>
  <si>
    <t>SMARTHOME - ESTADO DEL SERVICIO NO ACTUALIZA</t>
  </si>
  <si>
    <t>JOSE MIGUEL MARIN OSORIO</t>
  </si>
  <si>
    <t>E760736</t>
  </si>
  <si>
    <t>SMARTHOME - NO PUEDE ESCANEAR SERIAL</t>
  </si>
  <si>
    <t>SCOTT INO MOTTA VILCAPOMA</t>
  </si>
  <si>
    <t>E761117</t>
  </si>
  <si>
    <t>SMARTHOME - ERROR AL ESCANEAR CODIGO QR/SERIAL</t>
  </si>
  <si>
    <t>ARANSAZU CARQUIN HERRERA</t>
  </si>
  <si>
    <t>E760602</t>
  </si>
  <si>
    <t>SMARTHOME - NO HABILITA OPCIONES DEL ROUTER</t>
  </si>
  <si>
    <t>DIEGO HERRERA SALAZAR</t>
  </si>
  <si>
    <t>E760607</t>
  </si>
  <si>
    <t>SMARTHOME - SERVICIO DEGRADADO</t>
  </si>
  <si>
    <t>FABRIZZIO SCOTT DIOSES GAMARRA</t>
  </si>
  <si>
    <t>E759926</t>
  </si>
  <si>
    <t>SMARTHOME - NO PUEDE CAMBIAR CLAVE WIFI DESDE APP</t>
  </si>
  <si>
    <t>MARIA LUISA NAVARRO ABANTO</t>
  </si>
  <si>
    <t>E760615</t>
  </si>
  <si>
    <t>SMARTHOME - APLICACION LENTA</t>
  </si>
  <si>
    <t>GABRIEL MALLMA PORTELLA</t>
  </si>
  <si>
    <t>E760638</t>
  </si>
  <si>
    <t>SMARTHOME - APLICACION SE CIERRA</t>
  </si>
  <si>
    <t>GABY NATALY CASTREJON PAREDES</t>
  </si>
  <si>
    <t>E760734</t>
  </si>
  <si>
    <t>SMARTHOME - ERROR DE CARGA</t>
  </si>
  <si>
    <t>GEAN FRANCO QUINTO ZAPANA</t>
  </si>
  <si>
    <t>E761207</t>
  </si>
  <si>
    <t>SMARTHOME - INFORMACION DESACTUALIZADA</t>
  </si>
  <si>
    <t>JIMY NILTON PRINCIPE BLANCO</t>
  </si>
  <si>
    <t>E760474</t>
  </si>
  <si>
    <t>SMARTHOME - NOTIFICACIONES NO DISPONIBLES</t>
  </si>
  <si>
    <t>JORDAN ELVIS NUÑEZ ZAVALA</t>
  </si>
  <si>
    <t>E760611</t>
  </si>
  <si>
    <t>SMARTHOME - VIDEOS TUTORIALES NO CARGAN</t>
  </si>
  <si>
    <t>SHARON JUDITH SHERADER RIOS</t>
  </si>
  <si>
    <t>E760751</t>
  </si>
  <si>
    <t>SMARTHOME - GUIA PDF NO DISPONIBLE</t>
  </si>
  <si>
    <t>SOFIA MARGARITA NUÑEZ AGUIRRE</t>
  </si>
  <si>
    <t>E760735</t>
  </si>
  <si>
    <t>MI CLARO WEB - NO PUEDE REGISTRARSE</t>
  </si>
  <si>
    <t>HECTOR GABRIEL ALIAGA MEDINA</t>
  </si>
  <si>
    <t>E759929</t>
  </si>
  <si>
    <t>MI CLARO WEB - NO PUEDE INICIAR SESION</t>
  </si>
  <si>
    <t>JAIR GONZALO RAMOS MALDONADO</t>
  </si>
  <si>
    <t>E761022</t>
  </si>
  <si>
    <t>MI CLARO WEB - OLVIDO DE CONTRASEÑA</t>
  </si>
  <si>
    <t>REYNALDO FABRICIO GUEVARA CUETO</t>
  </si>
  <si>
    <t>E760620</t>
  </si>
  <si>
    <t>MI CLARO WEB - NO RECIBE CORREO DE RECUPERACION</t>
  </si>
  <si>
    <t>NATALI ROSARIO CANALES VARGAS</t>
  </si>
  <si>
    <t>E760517</t>
  </si>
  <si>
    <t>MI CLARO WEB - CUENTA BLOQUEADA</t>
  </si>
  <si>
    <t>RAUL LEONARDO ARMACTA OJEDA</t>
  </si>
  <si>
    <t>E759714</t>
  </si>
  <si>
    <t>MI CLARO WEB - ERROR DE AUTENTICACION</t>
  </si>
  <si>
    <t>ANGELO NAHUEL DIAZ PIZARRO</t>
  </si>
  <si>
    <t>E759918</t>
  </si>
  <si>
    <t>MI CLARO WEB - NO RECONOCE DNI</t>
  </si>
  <si>
    <t>MARCO ANTONIO JARA CABALLERO</t>
  </si>
  <si>
    <t>E759940</t>
  </si>
  <si>
    <t>MI CLARO WEB - ERROR AL REGISTRAR CUENTA</t>
  </si>
  <si>
    <t>CARLOS CASELY MENDEZ VILLALVA</t>
  </si>
  <si>
    <t>E760637</t>
  </si>
  <si>
    <t>MI CLARO WEB - NO VISUALIZA SERVICIOS CONTRATADOS</t>
  </si>
  <si>
    <t>FRANCISCO SANTIAGO ALCANTARA LUNA VICTORIA</t>
  </si>
  <si>
    <t>E761344</t>
  </si>
  <si>
    <t>MI CLARO WEB - INFORMACION DESACTUALIZADA</t>
  </si>
  <si>
    <t>CLAUDIA LORENA AROSEMENA YAPIAS</t>
  </si>
  <si>
    <t>E760604</t>
  </si>
  <si>
    <t>MI CLARO WEB - NO VISUALIZA DETALLE DEL PLAN</t>
  </si>
  <si>
    <t>JAIR ANTONIO APOLAYA JÁUREGUI</t>
  </si>
  <si>
    <t>E760046</t>
  </si>
  <si>
    <t>MI CLARO WEB - NO MUESTRA ESTADO DEL SERVICIO</t>
  </si>
  <si>
    <t>MI CLARO WEB - NO VISUALIZA SALDOS</t>
  </si>
  <si>
    <t>MI CLARO WEB - NO VISUALIZA CONSUMOS</t>
  </si>
  <si>
    <t>MI CLARO WEB - NO VISUALIZA DETALLE DE CONSUMOS</t>
  </si>
  <si>
    <t>MI CLARO WEB - NO PUEDE DESCARGAR REPORTE</t>
  </si>
  <si>
    <t>MI CLARO WEB - NO PUEDE ENVIAR REPORTE POR CORREO</t>
  </si>
  <si>
    <t>MI CLARO WEB - NO VISUALIZA RECIBOS</t>
  </si>
  <si>
    <t>MI CLARO WEB - RECIBO NO DISPONIBLE</t>
  </si>
  <si>
    <t>MI CLARO WEB - ERROR AL PAGAR RECIBO</t>
  </si>
  <si>
    <t>MI CLARO WEB - NO PUEDE DESCARGAR RECIBO PDF</t>
  </si>
  <si>
    <t>MI CLARO WEB - NO VISUALIZA HISTORIAL DE PAGOS</t>
  </si>
  <si>
    <t>MI CLARO WEB - ERROR EN DEBITO AUTOMATICO</t>
  </si>
  <si>
    <t>MI CLARO WEB - NO PUEDE AFILIARSE A DEBITO AUTOMATICO</t>
  </si>
  <si>
    <t>MI CLARO WEB - NO PUEDE CAMBIAR DE PLAN</t>
  </si>
  <si>
    <t>MI CLARO WEB - PLANES NO DISPONIBLES</t>
  </si>
  <si>
    <t>MI CLARO WEB - ERROR AL SOLICITAR CAMBIO DE PLAN</t>
  </si>
  <si>
    <t>MI CLARO WEB - CAMBIO DE PLAN NO REFLEJADO</t>
  </si>
  <si>
    <t>MI CLARO WEB - NO PUEDE SOLICITAR DECO ADICIONAL</t>
  </si>
  <si>
    <t>MI CLARO WEB - NO PUEDE CONTRATAR PAQUETE TV</t>
  </si>
  <si>
    <t>MI CLARO WEB - NO PUEDE SUSPENDER TEMPORALMENTE</t>
  </si>
  <si>
    <t>MI CLARO WEB - NO PUEDE CAMBIAR NUMERO</t>
  </si>
  <si>
    <t>MI CLARO WEB - NO PUEDE REGISTRAR DIRECTORIO TELEFONICO</t>
  </si>
  <si>
    <t>MI CLARO WEB - NO VISUALIZA ESTADO DE SOLICITUDES</t>
  </si>
  <si>
    <t>MI CLARO WEB - OPERACION PENDIENTE</t>
  </si>
  <si>
    <t>MI CLARO WEB - NO PUEDE APROBAR OPERACION</t>
  </si>
  <si>
    <t>MI CLARO WEB - ERROR AL CONFIRMAR IDENTIDAD</t>
  </si>
  <si>
    <t>MI CLARO WEB - OPERACION NO FINALIZA</t>
  </si>
  <si>
    <t>MI CLARO WEB - TRANSACCION NO EXITOSA</t>
  </si>
  <si>
    <t>MI CLARO WEB - NO VISUALIZA CLARO PUNTOS</t>
  </si>
  <si>
    <t>MI CLARO WEB - ERROR AL CANJEAR PUNTOS</t>
  </si>
  <si>
    <t>MI CLARO WEB - NO PUEDE CONVERTIR A MILLAS</t>
  </si>
  <si>
    <t>MI CLARO WEB - PUNTOS NO ACTUALIZADOS</t>
  </si>
  <si>
    <t>SOLUCIÓN</t>
  </si>
  <si>
    <t>INTERNET_</t>
  </si>
  <si>
    <t>TELEFONIA_</t>
  </si>
  <si>
    <t>IPTV_</t>
  </si>
  <si>
    <t>CABLE_</t>
  </si>
  <si>
    <t>APPS_</t>
  </si>
  <si>
    <t>CLIENTE_SOLICITA_DEVOLUCION_DE_LLAMADA_</t>
  </si>
  <si>
    <t>INFORMATIVO_AVERIA_MASIVA_</t>
  </si>
  <si>
    <t>CLIENTE_CON_SUSPENSION_DE_SERVICIOS_</t>
  </si>
  <si>
    <t>CLIENTE_DARA_DE_BAJA_EL_SERVICIO_</t>
  </si>
  <si>
    <t>NUMERO_NO_EXISTE_NUMERO_ERRADO_MAL_CREADO_</t>
  </si>
  <si>
    <t>DERIVADO_A_TI_REMEDY_</t>
  </si>
  <si>
    <t>INFORMACION_DERIVACION_ERRADA_</t>
  </si>
  <si>
    <t>CLIENTE_CON_SOT_CREADA_POR_TERCEROS_</t>
  </si>
  <si>
    <t>CICLO_DE_LLAMADA_</t>
  </si>
  <si>
    <t>TIPIFICACIÓN</t>
  </si>
  <si>
    <t>REINICIO MANUAL</t>
  </si>
  <si>
    <t>VALIDACION TOMAS ELECTRICAS</t>
  </si>
  <si>
    <t>BAJA Y ALTA</t>
  </si>
  <si>
    <t>CAMBIO SSID</t>
  </si>
  <si>
    <t>ACTUALIZACION FIRMWARE</t>
  </si>
  <si>
    <t>ACTUALIZACION CLARO TV</t>
  </si>
  <si>
    <t>RESET CONTROL REMOTO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</si>
</sst>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b/>
      <sz val="9"/>
      <color rgb="FF000000"/>
      <name val="Montserrat"/>
    </font>
    <font>
      <sz val="9"/>
      <color rgb="FF000000"/>
      <name val="Montserrat"/>
    </font>
    <font>
      <sz val="11"/>
      <color rgb="FF000000"/>
      <name val="Calibri"/>
      <family val="2"/>
      <scheme val="minor"/>
    </font>
    <font>
      <sz val="11"/>
      <color theme="1"/>
      <name val="Segoe UI"/>
      <family val="2"/>
    </font>
    <font>
      <sz val="11"/>
      <color rgb="FFFF0000"/>
      <name val="Calibri"/>
      <family val="2"/>
      <scheme val="minor"/>
    </font>
    <font>
      <sz val="11"/>
      <color theme="0"/>
      <name val="Calibri"/>
      <family val="2"/>
      <scheme val="minor"/>
    </font>
    <font>
      <sz val="11"/>
      <color rgb="FF37474F"/>
      <name val="Calibri Light"/>
      <family val="2"/>
      <scheme val="major"/>
    </font>
    <font>
      <sz val="11"/>
      <color theme="1"/>
      <name val="Calibri Light"/>
      <family val="2"/>
      <scheme val="major"/>
    </font>
    <font>
      <sz val="11"/>
      <color rgb="FF1C1C1C"/>
      <name val="Calibri Light"/>
      <family val="2"/>
      <scheme val="major"/>
    </font>
    <font>
      <sz val="10"/>
      <color rgb="FF000000"/>
      <name val="Arial Nova"/>
      <family val="2"/>
    </font>
    <font>
      <sz val="10"/>
      <color theme="1"/>
      <name val="Arial Nova"/>
      <family val="2"/>
    </font>
    <font>
      <sz val="20"/>
      <color theme="2" tint="-0.89999084444715716"/>
      <name val="Calibri"/>
      <family val="2"/>
      <scheme val="minor"/>
    </font>
    <font>
      <sz val="11"/>
      <color rgb="FF2E2C34"/>
      <name val="Dm-sans"/>
    </font>
    <font>
      <sz val="8"/>
      <color rgb="FF9D9D9D"/>
      <name val="Arial"/>
      <family val="2"/>
    </font>
    <font>
      <sz val="11"/>
      <color rgb="FF000000"/>
      <name val="Lato"/>
    </font>
    <font>
      <b/>
      <sz val="12"/>
      <color theme="1"/>
      <name val="Calibri"/>
      <family val="2"/>
      <scheme val="minor"/>
    </font>
    <font>
      <u/>
      <sz val="11"/>
      <color theme="10"/>
      <name val="Calibri"/>
      <family val="2"/>
      <scheme val="minor"/>
    </font>
    <font>
      <sz val="11"/>
      <color rgb="FF1C1C1C"/>
      <name val="Roboto"/>
      <charset val="1"/>
    </font>
    <font>
      <sz val="11"/>
      <color rgb="FF000000"/>
      <name val="Lato"/>
      <charset val="1"/>
    </font>
    <font>
      <b/>
      <sz val="11"/>
      <color theme="0"/>
      <name val="Calibri"/>
      <family val="2"/>
      <scheme val="minor"/>
    </font>
    <font>
      <b/>
      <sz val="11"/>
      <color theme="1"/>
      <name val="Calibri"/>
      <family val="2"/>
      <scheme val="minor"/>
    </font>
    <font>
      <sz val="9"/>
      <color rgb="FF000000"/>
      <name val="Arial Nova"/>
    </font>
    <font>
      <sz val="11"/>
      <color rgb="FF000000"/>
      <name val="Calibri"/>
      <scheme val="minor"/>
    </font>
    <font>
      <sz val="9"/>
      <color rgb="FF333333"/>
      <name val="Arial"/>
      <family val="2"/>
    </font>
  </fonts>
  <fills count="26">
    <fill>
      <patternFill patternType="none"/>
    </fill>
    <fill>
      <patternFill patternType="gray125"/>
    </fill>
    <fill>
      <patternFill patternType="solid">
        <fgColor theme="4" tint="0.39997558519241921"/>
        <bgColor indexed="64"/>
      </patternFill>
    </fill>
    <fill>
      <patternFill patternType="solid">
        <fgColor theme="4" tint="0.59999389629810485"/>
        <bgColor indexed="64"/>
      </patternFill>
    </fill>
    <fill>
      <patternFill patternType="solid">
        <fgColor rgb="FFFFFFFF"/>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0"/>
        <bgColor indexed="64"/>
      </patternFill>
    </fill>
    <fill>
      <patternFill patternType="solid">
        <fgColor rgb="FF92D050"/>
        <bgColor indexed="64"/>
      </patternFill>
    </fill>
    <fill>
      <patternFill patternType="solid">
        <fgColor theme="7"/>
        <bgColor indexed="64"/>
      </patternFill>
    </fill>
    <fill>
      <patternFill patternType="solid">
        <fgColor theme="7"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FFCC"/>
        <bgColor indexed="64"/>
      </patternFill>
    </fill>
    <fill>
      <patternFill patternType="solid">
        <fgColor rgb="FF00FFFF"/>
        <bgColor indexed="64"/>
      </patternFill>
    </fill>
    <fill>
      <patternFill patternType="solid">
        <fgColor rgb="FFFF6699"/>
        <bgColor indexed="64"/>
      </patternFill>
    </fill>
    <fill>
      <patternFill patternType="solid">
        <fgColor rgb="FFCC99FF"/>
        <bgColor indexed="64"/>
      </patternFill>
    </fill>
    <fill>
      <patternFill patternType="solid">
        <fgColor theme="0" tint="-0.14999847407452621"/>
        <bgColor theme="0" tint="-0.14999847407452621"/>
      </patternFill>
    </fill>
    <fill>
      <patternFill patternType="solid">
        <fgColor rgb="FFFFFFFF"/>
        <bgColor rgb="FF000000"/>
      </patternFill>
    </fill>
    <fill>
      <patternFill patternType="solid">
        <fgColor theme="1"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theme="4" tint="0.79998168889431442"/>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1"/>
      </left>
      <right style="thin">
        <color theme="1"/>
      </right>
      <top style="thin">
        <color theme="1"/>
      </top>
      <bottom/>
      <diagonal/>
    </border>
  </borders>
  <cellStyleXfs count="2">
    <xf numFmtId="0" fontId="0" fillId="0" borderId="0"/>
    <xf numFmtId="0" fontId="17" fillId="0" borderId="0" applyNumberFormat="0" applyFill="0" applyBorder="0" applyAlignment="0" applyProtection="0"/>
  </cellStyleXfs>
  <cellXfs count="100">
    <xf numFmtId="0" fontId="0" fillId="0" borderId="0" xfId="0"/>
    <xf numFmtId="0" fontId="0" fillId="0" borderId="0" xfId="0" applyAlignment="1">
      <alignment vertical="center"/>
    </xf>
    <xf numFmtId="0" fontId="0" fillId="3" borderId="1" xfId="0" applyFill="1" applyBorder="1" applyAlignment="1">
      <alignment horizontal="center" vertical="center"/>
    </xf>
    <xf numFmtId="0" fontId="1" fillId="4" borderId="1" xfId="0" applyFont="1" applyFill="1" applyBorder="1" applyAlignment="1">
      <alignment horizontal="center" vertical="center" wrapText="1"/>
    </xf>
    <xf numFmtId="0" fontId="1" fillId="5" borderId="1" xfId="0" applyFont="1" applyFill="1" applyBorder="1" applyAlignment="1">
      <alignment vertical="center" wrapText="1"/>
    </xf>
    <xf numFmtId="0" fontId="2" fillId="5" borderId="1"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0" borderId="1" xfId="0" applyBorder="1" applyAlignment="1">
      <alignment horizontal="center"/>
    </xf>
    <xf numFmtId="0" fontId="1" fillId="6" borderId="1" xfId="0" applyFont="1" applyFill="1" applyBorder="1" applyAlignment="1">
      <alignment vertical="center" wrapText="1"/>
    </xf>
    <xf numFmtId="0" fontId="2" fillId="6" borderId="1" xfId="0" applyFont="1" applyFill="1" applyBorder="1" applyAlignment="1">
      <alignment vertical="center" wrapText="1"/>
    </xf>
    <xf numFmtId="0" fontId="2" fillId="6" borderId="1" xfId="0" applyFont="1" applyFill="1" applyBorder="1" applyAlignment="1">
      <alignment horizontal="center" vertical="center" wrapText="1"/>
    </xf>
    <xf numFmtId="0" fontId="1" fillId="7" borderId="1" xfId="0" applyFont="1" applyFill="1" applyBorder="1" applyAlignment="1">
      <alignment vertical="center" wrapText="1"/>
    </xf>
    <xf numFmtId="0" fontId="2" fillId="7" borderId="1" xfId="0" applyFont="1" applyFill="1" applyBorder="1" applyAlignment="1">
      <alignment vertical="center" wrapText="1"/>
    </xf>
    <xf numFmtId="0" fontId="2" fillId="7" borderId="1" xfId="0" applyFont="1" applyFill="1" applyBorder="1" applyAlignment="1">
      <alignment horizontal="center" vertical="center" wrapText="1"/>
    </xf>
    <xf numFmtId="0" fontId="2" fillId="8" borderId="1" xfId="0" applyFont="1" applyFill="1" applyBorder="1" applyAlignment="1">
      <alignment vertical="center" wrapText="1"/>
    </xf>
    <xf numFmtId="0" fontId="2" fillId="5" borderId="1" xfId="0" applyFont="1" applyFill="1" applyBorder="1" applyAlignment="1">
      <alignment vertical="center" wrapText="1"/>
    </xf>
    <xf numFmtId="0" fontId="0" fillId="0" borderId="1" xfId="0" applyBorder="1" applyAlignment="1">
      <alignment horizontal="center" vertical="center"/>
    </xf>
    <xf numFmtId="0" fontId="0" fillId="0" borderId="0" xfId="0" applyAlignment="1">
      <alignment wrapText="1"/>
    </xf>
    <xf numFmtId="0" fontId="3" fillId="0" borderId="0" xfId="0" applyFont="1"/>
    <xf numFmtId="0" fontId="0" fillId="0" borderId="1" xfId="0" applyBorder="1"/>
    <xf numFmtId="0" fontId="0" fillId="0" borderId="1" xfId="0" applyBorder="1" applyAlignment="1">
      <alignment wrapText="1"/>
    </xf>
    <xf numFmtId="0" fontId="0" fillId="0" borderId="1" xfId="0" applyBorder="1" applyAlignment="1">
      <alignment horizontal="left" vertical="top" wrapText="1"/>
    </xf>
    <xf numFmtId="0" fontId="0" fillId="0" borderId="1" xfId="0" applyBorder="1" applyAlignment="1">
      <alignment horizontal="center" vertical="top"/>
    </xf>
    <xf numFmtId="0" fontId="0" fillId="0" borderId="2" xfId="0" applyBorder="1"/>
    <xf numFmtId="0" fontId="0" fillId="0" borderId="2" xfId="0" applyBorder="1" applyAlignment="1">
      <alignment wrapText="1"/>
    </xf>
    <xf numFmtId="0" fontId="0" fillId="0" borderId="1" xfId="0" applyBorder="1" applyAlignment="1">
      <alignment vertical="center" wrapText="1"/>
    </xf>
    <xf numFmtId="0" fontId="0" fillId="0" borderId="1" xfId="0" applyBorder="1" applyAlignment="1">
      <alignment horizontal="left"/>
    </xf>
    <xf numFmtId="0" fontId="4" fillId="5" borderId="0" xfId="0" applyFont="1" applyFill="1" applyAlignment="1">
      <alignment vertical="center"/>
    </xf>
    <xf numFmtId="0" fontId="4" fillId="10" borderId="0" xfId="0" applyFont="1" applyFill="1" applyAlignment="1">
      <alignment vertical="center"/>
    </xf>
    <xf numFmtId="0" fontId="4" fillId="11" borderId="0" xfId="0" applyFont="1" applyFill="1" applyAlignment="1">
      <alignment vertical="center"/>
    </xf>
    <xf numFmtId="0" fontId="4" fillId="12" borderId="0" xfId="0" applyFont="1" applyFill="1" applyAlignment="1">
      <alignment vertical="center"/>
    </xf>
    <xf numFmtId="0" fontId="4" fillId="13" borderId="0" xfId="0" applyFont="1" applyFill="1" applyAlignment="1">
      <alignment vertical="center"/>
    </xf>
    <xf numFmtId="0" fontId="4" fillId="14" borderId="0" xfId="0" applyFont="1" applyFill="1" applyAlignment="1">
      <alignment vertical="center"/>
    </xf>
    <xf numFmtId="0" fontId="4" fillId="15" borderId="0" xfId="0" applyFont="1" applyFill="1" applyAlignment="1">
      <alignment vertical="center"/>
    </xf>
    <xf numFmtId="0" fontId="4" fillId="3" borderId="0" xfId="0" applyFont="1" applyFill="1" applyAlignment="1">
      <alignment vertical="center"/>
    </xf>
    <xf numFmtId="0" fontId="4" fillId="16" borderId="0" xfId="0" applyFont="1" applyFill="1" applyAlignment="1">
      <alignment vertical="center"/>
    </xf>
    <xf numFmtId="0" fontId="4" fillId="17" borderId="0" xfId="0" applyFont="1" applyFill="1" applyAlignment="1">
      <alignment vertical="center"/>
    </xf>
    <xf numFmtId="0" fontId="4" fillId="18" borderId="0" xfId="0" applyFont="1" applyFill="1" applyAlignment="1">
      <alignment vertical="center"/>
    </xf>
    <xf numFmtId="0" fontId="4" fillId="19" borderId="0" xfId="0" applyFont="1" applyFill="1" applyAlignment="1">
      <alignment vertical="center"/>
    </xf>
    <xf numFmtId="0" fontId="0" fillId="0" borderId="0" xfId="0" applyAlignment="1">
      <alignment vertical="center" wrapText="1"/>
    </xf>
    <xf numFmtId="0" fontId="5" fillId="9" borderId="0" xfId="0" applyFont="1" applyFill="1"/>
    <xf numFmtId="0" fontId="0" fillId="20" borderId="7" xfId="0" applyFill="1" applyBorder="1"/>
    <xf numFmtId="0" fontId="7" fillId="0" borderId="1" xfId="0" applyFont="1" applyBorder="1" applyAlignment="1">
      <alignment horizontal="left"/>
    </xf>
    <xf numFmtId="0" fontId="8" fillId="0" borderId="1" xfId="0" applyFont="1" applyBorder="1" applyAlignment="1">
      <alignment horizontal="left"/>
    </xf>
    <xf numFmtId="0" fontId="8" fillId="0" borderId="1" xfId="0" applyFont="1" applyBorder="1" applyAlignment="1">
      <alignment horizontal="left" wrapText="1"/>
    </xf>
    <xf numFmtId="0" fontId="9" fillId="0" borderId="1" xfId="0" applyFont="1" applyBorder="1" applyAlignment="1">
      <alignment horizontal="left"/>
    </xf>
    <xf numFmtId="0" fontId="10" fillId="21" borderId="8" xfId="0" applyFont="1" applyFill="1" applyBorder="1" applyAlignment="1">
      <alignment horizontal="left" vertical="center"/>
    </xf>
    <xf numFmtId="0" fontId="10" fillId="0" borderId="8" xfId="0" applyFont="1" applyBorder="1" applyAlignment="1">
      <alignment horizontal="left" vertical="center"/>
    </xf>
    <xf numFmtId="0" fontId="11" fillId="0" borderId="8" xfId="0" applyFont="1" applyBorder="1" applyAlignment="1">
      <alignment horizontal="left" vertical="center"/>
    </xf>
    <xf numFmtId="49" fontId="11" fillId="0" borderId="8" xfId="0" applyNumberFormat="1" applyFont="1" applyBorder="1" applyAlignment="1">
      <alignment vertical="center"/>
    </xf>
    <xf numFmtId="0" fontId="10" fillId="0" borderId="8" xfId="0" applyFont="1" applyBorder="1" applyAlignment="1">
      <alignment horizontal="center" vertical="center"/>
    </xf>
    <xf numFmtId="0" fontId="11" fillId="0" borderId="8" xfId="0" applyFont="1" applyBorder="1" applyAlignment="1">
      <alignment horizontal="center" vertical="center"/>
    </xf>
    <xf numFmtId="0" fontId="10" fillId="0" borderId="9" xfId="0" applyFont="1" applyBorder="1" applyAlignment="1">
      <alignment horizontal="left" vertical="center"/>
    </xf>
    <xf numFmtId="0" fontId="10" fillId="0" borderId="9" xfId="0" applyFont="1" applyBorder="1" applyAlignment="1">
      <alignment horizontal="center" vertical="center"/>
    </xf>
    <xf numFmtId="0" fontId="0" fillId="0" borderId="0" xfId="0" applyAlignment="1">
      <alignment vertical="top"/>
    </xf>
    <xf numFmtId="0" fontId="9" fillId="0" borderId="1" xfId="0" applyFont="1" applyBorder="1" applyAlignment="1">
      <alignment horizontal="left" wrapText="1"/>
    </xf>
    <xf numFmtId="14" fontId="9" fillId="0" borderId="1" xfId="0" applyNumberFormat="1" applyFont="1" applyBorder="1" applyAlignment="1">
      <alignment horizontal="left"/>
    </xf>
    <xf numFmtId="0" fontId="0" fillId="5" borderId="1" xfId="0" applyFill="1" applyBorder="1" applyAlignment="1">
      <alignment horizontal="left" vertical="top"/>
    </xf>
    <xf numFmtId="14" fontId="0" fillId="5" borderId="1" xfId="0" applyNumberFormat="1" applyFill="1" applyBorder="1" applyAlignment="1">
      <alignment horizontal="left" wrapText="1"/>
    </xf>
    <xf numFmtId="0" fontId="0" fillId="10" borderId="1" xfId="0" applyFill="1" applyBorder="1" applyAlignment="1">
      <alignment horizontal="left" vertical="top"/>
    </xf>
    <xf numFmtId="0" fontId="0" fillId="10" borderId="1" xfId="0" applyFill="1" applyBorder="1" applyAlignment="1">
      <alignment vertical="top" wrapText="1"/>
    </xf>
    <xf numFmtId="0" fontId="13" fillId="0" borderId="1" xfId="0" applyFont="1" applyBorder="1" applyAlignment="1">
      <alignment horizontal="left"/>
    </xf>
    <xf numFmtId="0" fontId="14" fillId="0" borderId="1" xfId="0" applyFont="1" applyBorder="1" applyAlignment="1">
      <alignment horizontal="left"/>
    </xf>
    <xf numFmtId="0" fontId="15" fillId="0" borderId="1" xfId="0" quotePrefix="1" applyFont="1" applyBorder="1" applyAlignment="1">
      <alignment horizontal="left"/>
    </xf>
    <xf numFmtId="0" fontId="16" fillId="4" borderId="8" xfId="0" applyFont="1" applyFill="1" applyBorder="1"/>
    <xf numFmtId="0" fontId="18" fillId="0" borderId="0" xfId="0" applyFont="1"/>
    <xf numFmtId="0" fontId="19" fillId="0" borderId="0" xfId="0" applyFont="1"/>
    <xf numFmtId="0" fontId="20" fillId="23" borderId="10" xfId="0" applyFont="1" applyFill="1" applyBorder="1"/>
    <xf numFmtId="0" fontId="20" fillId="23" borderId="11" xfId="0" applyFont="1" applyFill="1" applyBorder="1"/>
    <xf numFmtId="0" fontId="0" fillId="24" borderId="10" xfId="0" applyFill="1" applyBorder="1"/>
    <xf numFmtId="0" fontId="0" fillId="24" borderId="11" xfId="0" applyFill="1" applyBorder="1"/>
    <xf numFmtId="0" fontId="0" fillId="0" borderId="10" xfId="0" applyBorder="1"/>
    <xf numFmtId="0" fontId="0" fillId="0" borderId="11" xfId="0" applyBorder="1"/>
    <xf numFmtId="0" fontId="22" fillId="0" borderId="0" xfId="0" applyFont="1" applyAlignment="1">
      <alignment vertical="top"/>
    </xf>
    <xf numFmtId="0" fontId="22" fillId="0" borderId="0" xfId="0" applyFont="1" applyAlignment="1">
      <alignment horizontal="center" vertical="center"/>
    </xf>
    <xf numFmtId="0" fontId="23" fillId="0" borderId="0" xfId="0" applyFont="1"/>
    <xf numFmtId="0" fontId="0" fillId="20" borderId="12" xfId="0" applyFill="1" applyBorder="1"/>
    <xf numFmtId="0" fontId="0" fillId="5" borderId="0" xfId="0" applyFill="1"/>
    <xf numFmtId="0" fontId="21" fillId="0" borderId="0" xfId="0" applyFont="1" applyAlignment="1">
      <alignment horizontal="center" vertical="center" wrapText="1"/>
    </xf>
    <xf numFmtId="0" fontId="0" fillId="25" borderId="10" xfId="0" applyFill="1" applyBorder="1"/>
    <xf numFmtId="0" fontId="0" fillId="5" borderId="10" xfId="0" applyFill="1" applyBorder="1"/>
    <xf numFmtId="0" fontId="0" fillId="0" borderId="0" xfId="0" applyProtection="1">
      <protection locked="0"/>
    </xf>
    <xf numFmtId="0" fontId="24" fillId="0" borderId="0" xfId="0" applyFont="1"/>
    <xf numFmtId="0" fontId="0" fillId="5" borderId="1" xfId="0" applyFill="1" applyBorder="1" applyAlignment="1">
      <alignment horizontal="center"/>
    </xf>
    <xf numFmtId="0" fontId="6" fillId="22" borderId="1" xfId="0" applyFont="1" applyFill="1" applyBorder="1" applyAlignment="1">
      <alignment horizontal="center"/>
    </xf>
    <xf numFmtId="0" fontId="12" fillId="22" borderId="0" xfId="0" applyFont="1" applyFill="1" applyAlignment="1">
      <alignment horizontal="center" vertical="center"/>
    </xf>
    <xf numFmtId="0" fontId="0" fillId="0" borderId="1" xfId="0" applyBorder="1" applyAlignment="1">
      <alignment horizontal="center" vertical="center" wrapText="1"/>
    </xf>
    <xf numFmtId="0" fontId="0" fillId="0" borderId="1" xfId="0" applyBorder="1" applyAlignment="1">
      <alignment horizontal="left"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 xfId="0" applyBorder="1" applyAlignment="1">
      <alignment horizontal="center" wrapText="1"/>
    </xf>
    <xf numFmtId="0" fontId="0" fillId="2" borderId="1" xfId="0" applyFill="1" applyBorder="1" applyAlignment="1">
      <alignment horizontal="center"/>
    </xf>
    <xf numFmtId="0" fontId="2" fillId="5" borderId="1" xfId="0" applyFont="1" applyFill="1" applyBorder="1" applyAlignment="1">
      <alignment vertical="center" wrapText="1"/>
    </xf>
    <xf numFmtId="0" fontId="0" fillId="0" borderId="1" xfId="0" applyBorder="1" applyAlignment="1">
      <alignment horizontal="left" wrapText="1"/>
    </xf>
    <xf numFmtId="0" fontId="0" fillId="0" borderId="1" xfId="0" applyBorder="1" applyAlignment="1">
      <alignment horizontal="center" vertical="center"/>
    </xf>
    <xf numFmtId="0" fontId="0" fillId="0" borderId="5" xfId="0" applyBorder="1" applyAlignment="1"/>
    <xf numFmtId="0" fontId="0" fillId="0" borderId="6" xfId="0" applyBorder="1" applyAlignment="1"/>
    <xf numFmtId="0" fontId="0" fillId="0" borderId="3" xfId="0" applyBorder="1" applyAlignment="1"/>
    <xf numFmtId="0" fontId="0" fillId="0" borderId="4" xfId="0" applyBorder="1" applyAlignment="1"/>
  </cellXfs>
  <cellStyles count="2">
    <cellStyle name="Hyperlink" xfId="1" xr:uid="{00000000-0005-0000-0000-000000000000}"/>
    <cellStyle name="Normal" xfId="0" builtinId="0"/>
  </cellStyles>
  <dxfs count="16">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bottom style="thin">
          <color rgb="FF000000"/>
        </bottom>
      </border>
    </dxf>
    <dxf>
      <border outline="0">
        <bottom style="thin">
          <color rgb="FF000000"/>
        </bottom>
      </border>
    </dxf>
    <dxf>
      <font>
        <b val="0"/>
        <i val="0"/>
        <strike val="0"/>
        <condense val="0"/>
        <extend val="0"/>
        <outline val="0"/>
        <shadow val="0"/>
        <u val="none"/>
        <vertAlign val="baseline"/>
        <sz val="11"/>
        <color rgb="FF000000"/>
        <name val="Calibri"/>
        <scheme val="minor"/>
      </font>
    </dxf>
    <dxf>
      <font>
        <strike val="0"/>
        <outline val="0"/>
        <shadow val="0"/>
        <u val="none"/>
        <vertAlign val="baseline"/>
        <sz val="11"/>
        <color rgb="FFFF0000"/>
        <name val="Calibri"/>
        <scheme val="minor"/>
      </font>
      <fill>
        <patternFill patternType="solid">
          <fgColor indexed="64"/>
          <bgColor theme="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s>
  <tableStyles count="0" defaultTableStyle="TableStyleMedium2" defaultPivotStyle="PivotStyleLight16"/>
  <colors>
    <mruColors>
      <color rgb="FFCC99FF"/>
      <color rgb="FFFFFF00"/>
      <color rgb="FFFF6699"/>
      <color rgb="FF00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50</xdr:row>
          <xdr:rowOff>495300</xdr:rowOff>
        </xdr:from>
        <xdr:to>
          <xdr:col>5</xdr:col>
          <xdr:colOff>219075</xdr:colOff>
          <xdr:row>50</xdr:row>
          <xdr:rowOff>1095375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600" b="1" i="1" u="none" strike="noStrike" baseline="0">
                  <a:solidFill>
                    <a:srgbClr val="000000"/>
                  </a:solidFill>
                  <a:latin typeface="Avenir Next LT Pro"/>
                </a:rPr>
                <a:t>LIMPIAR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23</xdr:row>
          <xdr:rowOff>495300</xdr:rowOff>
        </xdr:from>
        <xdr:to>
          <xdr:col>5</xdr:col>
          <xdr:colOff>219075</xdr:colOff>
          <xdr:row>23</xdr:row>
          <xdr:rowOff>1095375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600" b="1" i="1" u="none" strike="noStrike" baseline="0">
                  <a:solidFill>
                    <a:srgbClr val="000000"/>
                  </a:solidFill>
                  <a:latin typeface="Avenir Next LT Pro"/>
                </a:rPr>
                <a:t>LIMPIAR</a:t>
              </a:r>
            </a:p>
          </xdr:txBody>
        </xdr:sp>
        <xdr:clientData fPrintsWithSheet="0"/>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arco" id="{2C397382-6CFD-44E9-A6F3-8F342D3E9434}">
    <nsvFilter filterId="{00000000-0009-0000-0100-000003000000}" ref="A1:B11" tableId="3"/>
  </namedSheetView>
</namedSheetView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a3" displayName="Tabla3" ref="A1:B11" totalsRowShown="0" tableBorderDxfId="15">
  <autoFilter ref="A1:B11" xr:uid="{00000000-0009-0000-0100-000003000000}"/>
  <tableColumns count="2">
    <tableColumn id="1" xr3:uid="{00000000-0010-0000-0000-000001000000}" name="Columna1" dataDxfId="14"/>
    <tableColumn id="2" xr3:uid="{00000000-0010-0000-0000-000002000000}" name="Columna2" dataDxfId="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a1" displayName="Tabla1" ref="A1:A15" totalsRowShown="0" headerRowDxfId="4">
  <autoFilter ref="A1:A15" xr:uid="{00000000-0009-0000-0100-000001000000}"/>
  <tableColumns count="1">
    <tableColumn id="1" xr3:uid="{00000000-0010-0000-0100-000001000000}" name="PROBLEMA_DETECTADO"/>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a2" displayName="Tabla2" ref="E1:Q126" totalsRowShown="0">
  <tableColumns count="13">
    <tableColumn id="1" xr3:uid="{00000000-0010-0000-0200-000001000000}" name="INTERNET"/>
    <tableColumn id="2" xr3:uid="{00000000-0010-0000-0200-000002000000}" name="TELEFONIA"/>
    <tableColumn id="3" xr3:uid="{00000000-0010-0000-0200-000003000000}" name="IPTV"/>
    <tableColumn id="4" xr3:uid="{00000000-0010-0000-0200-000004000000}" name="CABLE"/>
    <tableColumn id="5" xr3:uid="{00000000-0010-0000-0200-000005000000}" name="APPS"/>
    <tableColumn id="6" xr3:uid="{00000000-0010-0000-0200-000006000000}" name="#CLIENTE_SOLICITA_DEVOLUCION_DE_LLAMADA"/>
    <tableColumn id="7" xr3:uid="{00000000-0010-0000-0200-000007000000}" name="INFORMATIVO_AVERIA_MASIVA"/>
    <tableColumn id="9" xr3:uid="{00000000-0010-0000-0200-000009000000}" name="CLIENTE_CON_SUSPENSION_DE_SERVICIOS"/>
    <tableColumn id="10" xr3:uid="{00000000-0010-0000-0200-00000A000000}" name="#DERIVADO_A_TI_REMEDY" dataDxfId="3"/>
    <tableColumn id="12" xr3:uid="{00000000-0010-0000-0200-00000C000000}" name="CLIENTE_DARA_DE_BAJA_EL_SERVICIO"/>
    <tableColumn id="13" xr3:uid="{00000000-0010-0000-0200-00000D000000}" name="INFORMACION /DERIVACION ERRADA"/>
    <tableColumn id="8" xr3:uid="{00000000-0010-0000-0200-000008000000}" name="CICLO_DE_LLAMADA"/>
    <tableColumn id="15" xr3:uid="{00000000-0010-0000-0200-00000F000000}" name="CLIENTE_CON_SOT_CREADA_POR_TERCERO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a5" displayName="Tabla5" ref="A30:A84" totalsRowShown="0" tableBorderDxfId="2">
  <tableColumns count="1">
    <tableColumn id="1" xr3:uid="{00000000-0010-0000-0300-000001000000}" name="ASESOR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a6" displayName="Tabla6" ref="B30:B84" totalsRowShown="0" tableBorderDxfId="1">
  <tableColumns count="1">
    <tableColumn id="1" xr3:uid="{00000000-0010-0000-0400-000001000000}" name="Usuarios i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Tabla8" displayName="Tabla8" ref="U1:AI27" totalsRowShown="0">
  <autoFilter ref="U1:AI27" xr:uid="{00000000-0009-0000-0100-000008000000}"/>
  <tableColumns count="15">
    <tableColumn id="1" xr3:uid="{00000000-0010-0000-0500-000001000000}" name="DESCARTES_FISICOS_INTERNET"/>
    <tableColumn id="4" xr3:uid="{00000000-0010-0000-0500-000004000000}" name="DESCARTES_REMOTOS_INTERNET"/>
    <tableColumn id="5" xr3:uid="{00000000-0010-0000-0500-000005000000}" name="DESCARTES_FISICOS_IPTV"/>
    <tableColumn id="6" xr3:uid="{00000000-0010-0000-0500-000006000000}" name="DESCARTES_REMOTOS_IPTV"/>
    <tableColumn id="7" xr3:uid="{00000000-0010-0000-0500-000007000000}" name="DESCARTES_FISICOS_CABLE_DIGITAL"/>
    <tableColumn id="8" xr3:uid="{00000000-0010-0000-0500-000008000000}" name="DESCARTES_REMOTOS_CABLE_DIGITAL"/>
    <tableColumn id="10" xr3:uid="{00000000-0010-0000-0500-00000A000000}" name="DESCARTES_FISICOS_TELEFONIA"/>
    <tableColumn id="11" xr3:uid="{00000000-0010-0000-0500-00000B000000}" name="DESCARTES_REMOTOS_TELEFONIA"/>
    <tableColumn id="13" xr3:uid="{00000000-0010-0000-0500-00000D000000}" name="GENERACION_SOT_BO"/>
    <tableColumn id="12" xr3:uid="{00000000-0010-0000-0500-00000C000000}" name="GENERACION_SOT_SOLICITUD_CLIENTE"/>
    <tableColumn id="14" xr3:uid="{00000000-0010-0000-0500-00000E000000}" name="AVERIA_MASIVA_POSIBLE_AVERIA"/>
    <tableColumn id="15" xr3:uid="{00000000-0010-0000-0500-00000F000000}" name="VALIDACION_DE_LOS_EQUIPOS_DEL_CLIENTE" dataDxfId="0"/>
    <tableColumn id="16" xr3:uid="{00000000-0010-0000-0500-000010000000}" name="EXPLICACIÓN_DE_USO_DEL_SERVICIO"/>
    <tableColumn id="17" xr3:uid="{00000000-0010-0000-0500-000011000000}" name="CLIENTE_NO_BRINDA_FACILIDADES"/>
    <tableColumn id="18" xr3:uid="{00000000-0010-0000-0500-000012000000}" name="WEB_APP_PLATAFORMAS_DE_ENTRETENIMIENT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9/04/relationships/namedSheetView" Target="../namedSheetViews/namedSheetView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2:N128"/>
  <sheetViews>
    <sheetView zoomScale="85" zoomScaleNormal="85" workbookViewId="0">
      <selection activeCell="F36" sqref="F36"/>
    </sheetView>
  </sheetViews>
  <sheetFormatPr defaultColWidth="11.42578125" defaultRowHeight="15"/>
  <cols>
    <col min="1" max="1" width="49.5703125" customWidth="1"/>
    <col min="2" max="2" width="18.140625" customWidth="1"/>
    <col min="3" max="3" width="22.7109375" customWidth="1"/>
    <col min="4" max="4" width="70.140625" customWidth="1"/>
    <col min="6" max="6" width="29.85546875" customWidth="1"/>
    <col min="10" max="10" width="36.28515625" bestFit="1" customWidth="1"/>
    <col min="11" max="11" width="87.28515625" bestFit="1" customWidth="1"/>
    <col min="12" max="12" width="28.28515625" bestFit="1" customWidth="1"/>
    <col min="13" max="13" width="11.7109375" bestFit="1" customWidth="1"/>
    <col min="14" max="14" width="53.140625" bestFit="1" customWidth="1"/>
  </cols>
  <sheetData>
    <row r="2" spans="1:14">
      <c r="A2" s="92" t="s">
        <v>0</v>
      </c>
      <c r="B2" s="96"/>
      <c r="C2" s="96"/>
      <c r="D2" s="97"/>
    </row>
    <row r="3" spans="1:14" ht="27" customHeight="1">
      <c r="A3" s="2" t="s">
        <v>1</v>
      </c>
      <c r="B3" s="2" t="s">
        <v>2</v>
      </c>
      <c r="C3" s="2" t="s">
        <v>3</v>
      </c>
      <c r="D3" s="2" t="s">
        <v>4</v>
      </c>
      <c r="J3" s="3" t="s">
        <v>5</v>
      </c>
      <c r="K3" s="3" t="s">
        <v>6</v>
      </c>
      <c r="L3" s="3" t="s">
        <v>7</v>
      </c>
      <c r="M3" s="3" t="s">
        <v>8</v>
      </c>
      <c r="N3" s="3" t="s">
        <v>9</v>
      </c>
    </row>
    <row r="4" spans="1:14" ht="15" customHeight="1">
      <c r="A4" s="87" t="s">
        <v>10</v>
      </c>
      <c r="B4" s="88" t="s">
        <v>11</v>
      </c>
      <c r="C4" s="95" t="s">
        <v>12</v>
      </c>
      <c r="D4" s="91" t="s">
        <v>13</v>
      </c>
      <c r="J4" s="4" t="s">
        <v>14</v>
      </c>
      <c r="K4" s="93" t="s">
        <v>15</v>
      </c>
      <c r="L4" s="5" t="s">
        <v>16</v>
      </c>
      <c r="M4" s="6" t="s">
        <v>17</v>
      </c>
      <c r="N4" s="7" t="s">
        <v>18</v>
      </c>
    </row>
    <row r="5" spans="1:14" ht="15" customHeight="1">
      <c r="A5" s="98"/>
      <c r="B5" s="89"/>
      <c r="C5" s="98"/>
      <c r="D5" s="98"/>
      <c r="J5" s="4" t="s">
        <v>19</v>
      </c>
      <c r="K5" s="99"/>
      <c r="L5" s="5" t="s">
        <v>16</v>
      </c>
      <c r="M5" s="6" t="s">
        <v>17</v>
      </c>
      <c r="N5" s="7" t="s">
        <v>18</v>
      </c>
    </row>
    <row r="6" spans="1:14" ht="15" customHeight="1">
      <c r="A6" s="98"/>
      <c r="B6" s="89"/>
      <c r="C6" s="98"/>
      <c r="D6" s="98"/>
      <c r="J6" s="8" t="s">
        <v>20</v>
      </c>
      <c r="K6" s="9" t="s">
        <v>21</v>
      </c>
      <c r="L6" s="10" t="s">
        <v>22</v>
      </c>
      <c r="M6" s="6" t="s">
        <v>17</v>
      </c>
      <c r="N6" s="7" t="s">
        <v>23</v>
      </c>
    </row>
    <row r="7" spans="1:14" ht="15" customHeight="1">
      <c r="A7" s="98"/>
      <c r="B7" s="89"/>
      <c r="C7" s="98"/>
      <c r="D7" s="98"/>
      <c r="J7" s="4" t="s">
        <v>24</v>
      </c>
      <c r="K7" s="15" t="s">
        <v>25</v>
      </c>
      <c r="L7" s="5" t="s">
        <v>26</v>
      </c>
      <c r="M7" s="6" t="s">
        <v>17</v>
      </c>
      <c r="N7" s="7" t="s">
        <v>27</v>
      </c>
    </row>
    <row r="8" spans="1:14" ht="15" customHeight="1">
      <c r="A8" s="98"/>
      <c r="B8" s="89"/>
      <c r="C8" s="98"/>
      <c r="D8" s="98"/>
      <c r="J8" s="4" t="s">
        <v>28</v>
      </c>
      <c r="K8" s="15" t="s">
        <v>29</v>
      </c>
      <c r="L8" s="5" t="s">
        <v>26</v>
      </c>
      <c r="M8" s="6" t="s">
        <v>17</v>
      </c>
      <c r="N8" s="7" t="s">
        <v>30</v>
      </c>
    </row>
    <row r="9" spans="1:14" ht="15" customHeight="1">
      <c r="A9" s="98"/>
      <c r="B9" s="89"/>
      <c r="C9" s="98"/>
      <c r="D9" s="98"/>
      <c r="J9" s="8" t="s">
        <v>31</v>
      </c>
      <c r="K9" s="9" t="s">
        <v>32</v>
      </c>
      <c r="L9" s="10" t="s">
        <v>22</v>
      </c>
      <c r="M9" s="6" t="s">
        <v>17</v>
      </c>
      <c r="N9" s="7" t="s">
        <v>23</v>
      </c>
    </row>
    <row r="10" spans="1:14" ht="15" customHeight="1">
      <c r="A10" s="98"/>
      <c r="B10" s="89"/>
      <c r="C10" s="98"/>
      <c r="D10" s="98"/>
      <c r="J10" s="4" t="s">
        <v>33</v>
      </c>
      <c r="K10" s="15" t="s">
        <v>34</v>
      </c>
      <c r="L10" s="5" t="s">
        <v>26</v>
      </c>
      <c r="M10" s="6" t="s">
        <v>17</v>
      </c>
      <c r="N10" s="7" t="s">
        <v>35</v>
      </c>
    </row>
    <row r="11" spans="1:14" ht="15" customHeight="1">
      <c r="A11" s="98"/>
      <c r="B11" s="89"/>
      <c r="C11" s="98"/>
      <c r="D11" s="98"/>
      <c r="J11" s="11" t="s">
        <v>36</v>
      </c>
      <c r="K11" s="12" t="s">
        <v>37</v>
      </c>
      <c r="L11" s="13" t="s">
        <v>38</v>
      </c>
      <c r="M11" s="6" t="s">
        <v>17</v>
      </c>
      <c r="N11" s="7" t="s">
        <v>39</v>
      </c>
    </row>
    <row r="12" spans="1:14" ht="15" customHeight="1">
      <c r="A12" s="98"/>
      <c r="B12" s="89"/>
      <c r="C12" s="98"/>
      <c r="D12" s="98"/>
      <c r="J12" s="11" t="s">
        <v>40</v>
      </c>
      <c r="K12" s="12" t="s">
        <v>41</v>
      </c>
      <c r="L12" s="13" t="s">
        <v>38</v>
      </c>
      <c r="M12" s="6" t="s">
        <v>17</v>
      </c>
      <c r="N12" s="7" t="s">
        <v>39</v>
      </c>
    </row>
    <row r="13" spans="1:14" ht="15" customHeight="1">
      <c r="A13" s="98"/>
      <c r="B13" s="89"/>
      <c r="C13" s="98"/>
      <c r="D13" s="98"/>
      <c r="J13" s="11" t="s">
        <v>42</v>
      </c>
      <c r="K13" s="12" t="s">
        <v>43</v>
      </c>
      <c r="L13" s="13" t="s">
        <v>38</v>
      </c>
      <c r="M13" s="6" t="s">
        <v>17</v>
      </c>
      <c r="N13" s="7" t="s">
        <v>39</v>
      </c>
    </row>
    <row r="14" spans="1:14" ht="15" customHeight="1">
      <c r="A14" s="98"/>
      <c r="B14" s="89"/>
      <c r="C14" s="98"/>
      <c r="D14" s="98"/>
    </row>
    <row r="15" spans="1:14" ht="15" customHeight="1">
      <c r="A15" s="98"/>
      <c r="B15" s="89"/>
      <c r="C15" s="98"/>
      <c r="D15" s="98"/>
    </row>
    <row r="16" spans="1:14" ht="15" customHeight="1">
      <c r="A16" s="98"/>
      <c r="B16" s="89"/>
      <c r="C16" s="98"/>
      <c r="D16" s="98"/>
      <c r="K16" s="14" t="s">
        <v>44</v>
      </c>
    </row>
    <row r="17" spans="1:11" ht="15" customHeight="1">
      <c r="A17" s="98"/>
      <c r="B17" s="89"/>
      <c r="C17" s="98"/>
      <c r="D17" s="98"/>
      <c r="K17" s="87" t="s">
        <v>45</v>
      </c>
    </row>
    <row r="18" spans="1:11" ht="15" customHeight="1">
      <c r="A18" s="98"/>
      <c r="B18" s="89"/>
      <c r="C18" s="98"/>
      <c r="D18" s="98"/>
      <c r="K18" s="98"/>
    </row>
    <row r="19" spans="1:11" ht="15" customHeight="1">
      <c r="A19" s="98"/>
      <c r="B19" s="89"/>
      <c r="C19" s="98"/>
      <c r="D19" s="98"/>
      <c r="K19" s="98"/>
    </row>
    <row r="20" spans="1:11" ht="15" customHeight="1">
      <c r="A20" s="98"/>
      <c r="B20" s="89"/>
      <c r="C20" s="98"/>
      <c r="D20" s="98"/>
      <c r="K20" s="98"/>
    </row>
    <row r="21" spans="1:11" ht="15" customHeight="1">
      <c r="A21" s="98"/>
      <c r="B21" s="89"/>
      <c r="C21" s="98"/>
      <c r="D21" s="98"/>
      <c r="K21" s="98"/>
    </row>
    <row r="22" spans="1:11" ht="15" customHeight="1">
      <c r="A22" s="98"/>
      <c r="B22" s="89"/>
      <c r="C22" s="98"/>
      <c r="D22" s="98"/>
      <c r="K22" s="98"/>
    </row>
    <row r="23" spans="1:11" ht="15" customHeight="1">
      <c r="A23" s="98"/>
      <c r="B23" s="89"/>
      <c r="C23" s="98"/>
      <c r="D23" s="98"/>
      <c r="K23" s="98"/>
    </row>
    <row r="24" spans="1:11" ht="15" customHeight="1">
      <c r="A24" s="99"/>
      <c r="B24" s="90"/>
      <c r="C24" s="99"/>
      <c r="D24" s="99"/>
      <c r="K24" s="98"/>
    </row>
    <row r="25" spans="1:11" ht="15" customHeight="1">
      <c r="A25" s="87" t="s">
        <v>46</v>
      </c>
      <c r="B25" s="88" t="s">
        <v>11</v>
      </c>
      <c r="C25" s="86" t="s">
        <v>12</v>
      </c>
      <c r="D25" s="86" t="s">
        <v>47</v>
      </c>
      <c r="K25" s="98"/>
    </row>
    <row r="26" spans="1:11">
      <c r="A26" s="98"/>
      <c r="B26" s="89"/>
      <c r="C26" s="98"/>
      <c r="D26" s="98"/>
      <c r="K26" s="98"/>
    </row>
    <row r="27" spans="1:11">
      <c r="A27" s="98"/>
      <c r="B27" s="89"/>
      <c r="C27" s="98"/>
      <c r="D27" s="98"/>
      <c r="K27" s="98"/>
    </row>
    <row r="28" spans="1:11">
      <c r="A28" s="98"/>
      <c r="B28" s="89"/>
      <c r="C28" s="98"/>
      <c r="D28" s="98"/>
      <c r="K28" s="98"/>
    </row>
    <row r="29" spans="1:11">
      <c r="A29" s="98"/>
      <c r="B29" s="89"/>
      <c r="C29" s="98"/>
      <c r="D29" s="98"/>
      <c r="K29" s="98"/>
    </row>
    <row r="30" spans="1:11">
      <c r="A30" s="98"/>
      <c r="B30" s="89"/>
      <c r="C30" s="98"/>
      <c r="D30" s="98"/>
      <c r="K30" s="98"/>
    </row>
    <row r="31" spans="1:11">
      <c r="A31" s="98"/>
      <c r="B31" s="89"/>
      <c r="C31" s="98"/>
      <c r="D31" s="98"/>
      <c r="K31" s="98"/>
    </row>
    <row r="32" spans="1:11">
      <c r="A32" s="98"/>
      <c r="B32" s="89"/>
      <c r="C32" s="98"/>
      <c r="D32" s="98"/>
      <c r="K32" s="98"/>
    </row>
    <row r="33" spans="1:11">
      <c r="A33" s="98"/>
      <c r="B33" s="89"/>
      <c r="C33" s="98"/>
      <c r="D33" s="98"/>
      <c r="K33" s="98"/>
    </row>
    <row r="34" spans="1:11">
      <c r="A34" s="98"/>
      <c r="B34" s="89"/>
      <c r="C34" s="98"/>
      <c r="D34" s="98"/>
      <c r="K34" s="98"/>
    </row>
    <row r="35" spans="1:11">
      <c r="A35" s="99"/>
      <c r="B35" s="90"/>
      <c r="C35" s="99"/>
      <c r="D35" s="99"/>
      <c r="K35" s="98"/>
    </row>
    <row r="36" spans="1:11" ht="15" customHeight="1">
      <c r="A36" s="87" t="s">
        <v>48</v>
      </c>
      <c r="B36" s="88" t="s">
        <v>11</v>
      </c>
      <c r="C36" s="86" t="s">
        <v>12</v>
      </c>
      <c r="D36" s="86" t="s">
        <v>49</v>
      </c>
      <c r="K36" s="98"/>
    </row>
    <row r="37" spans="1:11">
      <c r="A37" s="98"/>
      <c r="B37" s="89"/>
      <c r="C37" s="98"/>
      <c r="D37" s="98"/>
      <c r="K37" s="99"/>
    </row>
    <row r="38" spans="1:11">
      <c r="A38" s="98"/>
      <c r="B38" s="89"/>
      <c r="C38" s="98"/>
      <c r="D38" s="98"/>
    </row>
    <row r="39" spans="1:11">
      <c r="A39" s="98"/>
      <c r="B39" s="89"/>
      <c r="C39" s="98"/>
      <c r="D39" s="98"/>
    </row>
    <row r="40" spans="1:11">
      <c r="A40" s="98"/>
      <c r="B40" s="89"/>
      <c r="C40" s="98"/>
      <c r="D40" s="98"/>
    </row>
    <row r="41" spans="1:11">
      <c r="A41" s="98"/>
      <c r="B41" s="89"/>
      <c r="C41" s="98"/>
      <c r="D41" s="98"/>
    </row>
    <row r="42" spans="1:11">
      <c r="A42" s="98"/>
      <c r="B42" s="89"/>
      <c r="C42" s="98"/>
      <c r="D42" s="98"/>
    </row>
    <row r="43" spans="1:11">
      <c r="A43" s="98"/>
      <c r="B43" s="89"/>
      <c r="C43" s="98"/>
      <c r="D43" s="98"/>
    </row>
    <row r="44" spans="1:11">
      <c r="A44" s="98"/>
      <c r="B44" s="89"/>
      <c r="C44" s="98"/>
      <c r="D44" s="98"/>
    </row>
    <row r="45" spans="1:11">
      <c r="A45" s="99"/>
      <c r="B45" s="90"/>
      <c r="C45" s="99"/>
      <c r="D45" s="99"/>
    </row>
    <row r="46" spans="1:11" ht="15" customHeight="1">
      <c r="A46" s="87" t="s">
        <v>50</v>
      </c>
      <c r="B46" s="88" t="s">
        <v>11</v>
      </c>
      <c r="C46" s="86" t="s">
        <v>51</v>
      </c>
      <c r="D46" s="86" t="s">
        <v>52</v>
      </c>
      <c r="E46" s="1"/>
    </row>
    <row r="47" spans="1:11">
      <c r="A47" s="98"/>
      <c r="B47" s="89"/>
      <c r="C47" s="98"/>
      <c r="D47" s="98"/>
      <c r="E47" s="1"/>
    </row>
    <row r="48" spans="1:11">
      <c r="A48" s="98"/>
      <c r="B48" s="89"/>
      <c r="C48" s="98"/>
      <c r="D48" s="98"/>
      <c r="E48" s="1"/>
    </row>
    <row r="49" spans="1:5">
      <c r="A49" s="98"/>
      <c r="B49" s="89"/>
      <c r="C49" s="98"/>
      <c r="D49" s="98"/>
      <c r="E49" s="1"/>
    </row>
    <row r="50" spans="1:5">
      <c r="A50" s="98"/>
      <c r="B50" s="89"/>
      <c r="C50" s="98"/>
      <c r="D50" s="98"/>
      <c r="E50" s="1"/>
    </row>
    <row r="51" spans="1:5">
      <c r="A51" s="98"/>
      <c r="B51" s="89"/>
      <c r="C51" s="98"/>
      <c r="D51" s="98"/>
      <c r="E51" s="1"/>
    </row>
    <row r="52" spans="1:5">
      <c r="A52" s="98"/>
      <c r="B52" s="89"/>
      <c r="C52" s="98"/>
      <c r="D52" s="98"/>
      <c r="E52" s="1"/>
    </row>
    <row r="53" spans="1:5">
      <c r="A53" s="98"/>
      <c r="B53" s="89"/>
      <c r="C53" s="98"/>
      <c r="D53" s="98"/>
      <c r="E53" s="1"/>
    </row>
    <row r="54" spans="1:5">
      <c r="A54" s="99"/>
      <c r="B54" s="90"/>
      <c r="C54" s="99"/>
      <c r="D54" s="99"/>
      <c r="E54" s="1"/>
    </row>
    <row r="55" spans="1:5" ht="15" customHeight="1">
      <c r="A55" s="87" t="s">
        <v>53</v>
      </c>
      <c r="B55" s="88" t="s">
        <v>11</v>
      </c>
      <c r="C55" s="86" t="s">
        <v>51</v>
      </c>
      <c r="D55" s="86" t="s">
        <v>54</v>
      </c>
    </row>
    <row r="56" spans="1:5">
      <c r="A56" s="98"/>
      <c r="B56" s="89"/>
      <c r="C56" s="98"/>
      <c r="D56" s="98"/>
    </row>
    <row r="57" spans="1:5">
      <c r="A57" s="98"/>
      <c r="B57" s="89"/>
      <c r="C57" s="98"/>
      <c r="D57" s="98"/>
    </row>
    <row r="58" spans="1:5">
      <c r="A58" s="98"/>
      <c r="B58" s="89"/>
      <c r="C58" s="98"/>
      <c r="D58" s="98"/>
    </row>
    <row r="59" spans="1:5">
      <c r="A59" s="98"/>
      <c r="B59" s="89"/>
      <c r="C59" s="98"/>
      <c r="D59" s="98"/>
    </row>
    <row r="60" spans="1:5">
      <c r="A60" s="99"/>
      <c r="B60" s="90"/>
      <c r="C60" s="99"/>
      <c r="D60" s="99"/>
    </row>
    <row r="61" spans="1:5" ht="15" customHeight="1">
      <c r="A61" s="87" t="s">
        <v>55</v>
      </c>
      <c r="B61" s="88" t="s">
        <v>11</v>
      </c>
      <c r="C61" s="86" t="s">
        <v>51</v>
      </c>
      <c r="D61" s="86" t="s">
        <v>56</v>
      </c>
    </row>
    <row r="62" spans="1:5">
      <c r="A62" s="98"/>
      <c r="B62" s="89"/>
      <c r="C62" s="98"/>
      <c r="D62" s="98"/>
    </row>
    <row r="63" spans="1:5">
      <c r="A63" s="98"/>
      <c r="B63" s="89"/>
      <c r="C63" s="98"/>
      <c r="D63" s="98"/>
    </row>
    <row r="64" spans="1:5">
      <c r="A64" s="98"/>
      <c r="B64" s="89"/>
      <c r="C64" s="98"/>
      <c r="D64" s="98"/>
    </row>
    <row r="65" spans="1:4">
      <c r="A65" s="99"/>
      <c r="B65" s="90"/>
      <c r="C65" s="99"/>
      <c r="D65" s="99"/>
    </row>
    <row r="66" spans="1:4" ht="15" customHeight="1">
      <c r="A66" s="87" t="s">
        <v>57</v>
      </c>
      <c r="B66" s="88" t="s">
        <v>11</v>
      </c>
      <c r="C66" s="86" t="s">
        <v>51</v>
      </c>
      <c r="D66" s="86" t="s">
        <v>58</v>
      </c>
    </row>
    <row r="67" spans="1:4">
      <c r="A67" s="98"/>
      <c r="B67" s="89"/>
      <c r="C67" s="98"/>
      <c r="D67" s="98"/>
    </row>
    <row r="68" spans="1:4">
      <c r="A68" s="98"/>
      <c r="B68" s="89"/>
      <c r="C68" s="98"/>
      <c r="D68" s="98"/>
    </row>
    <row r="69" spans="1:4">
      <c r="A69" s="98"/>
      <c r="B69" s="89"/>
      <c r="C69" s="98"/>
      <c r="D69" s="98"/>
    </row>
    <row r="70" spans="1:4">
      <c r="A70" s="98"/>
      <c r="B70" s="89"/>
      <c r="C70" s="98"/>
      <c r="D70" s="98"/>
    </row>
    <row r="71" spans="1:4">
      <c r="A71" s="98"/>
      <c r="B71" s="89"/>
      <c r="C71" s="98"/>
      <c r="D71" s="98"/>
    </row>
    <row r="72" spans="1:4">
      <c r="A72" s="98"/>
      <c r="B72" s="89"/>
      <c r="C72" s="98"/>
      <c r="D72" s="98"/>
    </row>
    <row r="73" spans="1:4">
      <c r="A73" s="98"/>
      <c r="B73" s="89"/>
      <c r="C73" s="98"/>
      <c r="D73" s="98"/>
    </row>
    <row r="74" spans="1:4">
      <c r="A74" s="99"/>
      <c r="B74" s="90"/>
      <c r="C74" s="99"/>
      <c r="D74" s="99"/>
    </row>
    <row r="75" spans="1:4" ht="15" customHeight="1">
      <c r="A75" s="87" t="s">
        <v>59</v>
      </c>
      <c r="B75" s="88" t="s">
        <v>11</v>
      </c>
      <c r="C75" s="86" t="s">
        <v>51</v>
      </c>
      <c r="D75" s="86" t="s">
        <v>60</v>
      </c>
    </row>
    <row r="76" spans="1:4">
      <c r="A76" s="98"/>
      <c r="B76" s="89"/>
      <c r="C76" s="98"/>
      <c r="D76" s="98"/>
    </row>
    <row r="77" spans="1:4">
      <c r="A77" s="98"/>
      <c r="B77" s="89"/>
      <c r="C77" s="98"/>
      <c r="D77" s="98"/>
    </row>
    <row r="78" spans="1:4">
      <c r="A78" s="98"/>
      <c r="B78" s="89"/>
      <c r="C78" s="98"/>
      <c r="D78" s="98"/>
    </row>
    <row r="79" spans="1:4">
      <c r="A79" s="98"/>
      <c r="B79" s="89"/>
      <c r="C79" s="98"/>
      <c r="D79" s="98"/>
    </row>
    <row r="80" spans="1:4">
      <c r="A80" s="98"/>
      <c r="B80" s="89"/>
      <c r="C80" s="98"/>
      <c r="D80" s="98"/>
    </row>
    <row r="81" spans="1:4">
      <c r="A81" s="99"/>
      <c r="B81" s="90"/>
      <c r="C81" s="99"/>
      <c r="D81" s="99"/>
    </row>
    <row r="82" spans="1:4" ht="15" customHeight="1">
      <c r="A82" s="87" t="s">
        <v>61</v>
      </c>
      <c r="B82" s="88" t="s">
        <v>62</v>
      </c>
      <c r="C82" s="86" t="s">
        <v>63</v>
      </c>
      <c r="D82" s="86" t="s">
        <v>64</v>
      </c>
    </row>
    <row r="83" spans="1:4">
      <c r="A83" s="98"/>
      <c r="B83" s="89"/>
      <c r="C83" s="98"/>
      <c r="D83" s="98"/>
    </row>
    <row r="84" spans="1:4">
      <c r="A84" s="98"/>
      <c r="B84" s="89"/>
      <c r="C84" s="98"/>
      <c r="D84" s="98"/>
    </row>
    <row r="85" spans="1:4">
      <c r="A85" s="98"/>
      <c r="B85" s="89"/>
      <c r="C85" s="98"/>
      <c r="D85" s="98"/>
    </row>
    <row r="86" spans="1:4">
      <c r="A86" s="98"/>
      <c r="B86" s="89"/>
      <c r="C86" s="98"/>
      <c r="D86" s="98"/>
    </row>
    <row r="87" spans="1:4">
      <c r="A87" s="98"/>
      <c r="B87" s="89"/>
      <c r="C87" s="98"/>
      <c r="D87" s="98"/>
    </row>
    <row r="88" spans="1:4">
      <c r="A88" s="98"/>
      <c r="B88" s="89"/>
      <c r="C88" s="98"/>
      <c r="D88" s="98"/>
    </row>
    <row r="89" spans="1:4">
      <c r="A89" s="98"/>
      <c r="B89" s="89"/>
      <c r="C89" s="98"/>
      <c r="D89" s="98"/>
    </row>
    <row r="90" spans="1:4">
      <c r="A90" s="99"/>
      <c r="B90" s="90"/>
      <c r="C90" s="99"/>
      <c r="D90" s="99"/>
    </row>
    <row r="91" spans="1:4" ht="15" customHeight="1">
      <c r="A91" s="87" t="s">
        <v>65</v>
      </c>
      <c r="B91" s="88" t="s">
        <v>62</v>
      </c>
      <c r="C91" s="86" t="s">
        <v>63</v>
      </c>
      <c r="D91" s="86" t="s">
        <v>66</v>
      </c>
    </row>
    <row r="92" spans="1:4">
      <c r="A92" s="98"/>
      <c r="B92" s="89"/>
      <c r="C92" s="98"/>
      <c r="D92" s="98"/>
    </row>
    <row r="93" spans="1:4">
      <c r="A93" s="98"/>
      <c r="B93" s="89"/>
      <c r="C93" s="98"/>
      <c r="D93" s="98"/>
    </row>
    <row r="94" spans="1:4">
      <c r="A94" s="98"/>
      <c r="B94" s="89"/>
      <c r="C94" s="98"/>
      <c r="D94" s="98"/>
    </row>
    <row r="95" spans="1:4">
      <c r="A95" s="98"/>
      <c r="B95" s="89"/>
      <c r="C95" s="98"/>
      <c r="D95" s="98"/>
    </row>
    <row r="96" spans="1:4">
      <c r="A96" s="98"/>
      <c r="B96" s="89"/>
      <c r="C96" s="98"/>
      <c r="D96" s="98"/>
    </row>
    <row r="97" spans="1:4">
      <c r="A97" s="98"/>
      <c r="B97" s="89"/>
      <c r="C97" s="98"/>
      <c r="D97" s="98"/>
    </row>
    <row r="98" spans="1:4">
      <c r="A98" s="98"/>
      <c r="B98" s="89"/>
      <c r="C98" s="98"/>
      <c r="D98" s="98"/>
    </row>
    <row r="99" spans="1:4">
      <c r="A99" s="99"/>
      <c r="B99" s="90"/>
      <c r="C99" s="99"/>
      <c r="D99" s="99"/>
    </row>
    <row r="100" spans="1:4" ht="15" customHeight="1">
      <c r="A100" s="87" t="s">
        <v>67</v>
      </c>
      <c r="B100" s="88" t="s">
        <v>62</v>
      </c>
      <c r="C100" s="86" t="s">
        <v>63</v>
      </c>
      <c r="D100" s="86" t="s">
        <v>68</v>
      </c>
    </row>
    <row r="101" spans="1:4">
      <c r="A101" s="98"/>
      <c r="B101" s="89"/>
      <c r="C101" s="98"/>
      <c r="D101" s="98"/>
    </row>
    <row r="102" spans="1:4">
      <c r="A102" s="98"/>
      <c r="B102" s="89"/>
      <c r="C102" s="98"/>
      <c r="D102" s="98"/>
    </row>
    <row r="103" spans="1:4">
      <c r="A103" s="98"/>
      <c r="B103" s="89"/>
      <c r="C103" s="98"/>
      <c r="D103" s="98"/>
    </row>
    <row r="104" spans="1:4">
      <c r="A104" s="98"/>
      <c r="B104" s="89"/>
      <c r="C104" s="98"/>
      <c r="D104" s="98"/>
    </row>
    <row r="105" spans="1:4">
      <c r="A105" s="98"/>
      <c r="B105" s="89"/>
      <c r="C105" s="98"/>
      <c r="D105" s="98"/>
    </row>
    <row r="106" spans="1:4">
      <c r="A106" s="98"/>
      <c r="B106" s="89"/>
      <c r="C106" s="98"/>
      <c r="D106" s="98"/>
    </row>
    <row r="107" spans="1:4">
      <c r="A107" s="99"/>
      <c r="B107" s="90"/>
      <c r="C107" s="99"/>
      <c r="D107" s="99"/>
    </row>
    <row r="108" spans="1:4" ht="15" customHeight="1">
      <c r="A108" s="87" t="s">
        <v>69</v>
      </c>
      <c r="B108" s="88" t="s">
        <v>62</v>
      </c>
      <c r="C108" s="86" t="s">
        <v>63</v>
      </c>
      <c r="D108" s="91" t="s">
        <v>70</v>
      </c>
    </row>
    <row r="109" spans="1:4">
      <c r="A109" s="98"/>
      <c r="B109" s="89"/>
      <c r="C109" s="98"/>
      <c r="D109" s="98"/>
    </row>
    <row r="110" spans="1:4">
      <c r="A110" s="98"/>
      <c r="B110" s="89"/>
      <c r="C110" s="98"/>
      <c r="D110" s="98"/>
    </row>
    <row r="111" spans="1:4">
      <c r="A111" s="98"/>
      <c r="B111" s="89"/>
      <c r="C111" s="98"/>
      <c r="D111" s="98"/>
    </row>
    <row r="112" spans="1:4">
      <c r="A112" s="98"/>
      <c r="B112" s="89"/>
      <c r="C112" s="98"/>
      <c r="D112" s="98"/>
    </row>
    <row r="113" spans="1:4">
      <c r="A113" s="98"/>
      <c r="B113" s="89"/>
      <c r="C113" s="98"/>
      <c r="D113" s="98"/>
    </row>
    <row r="114" spans="1:4">
      <c r="A114" s="98"/>
      <c r="B114" s="89"/>
      <c r="C114" s="98"/>
      <c r="D114" s="98"/>
    </row>
    <row r="115" spans="1:4" ht="119.25" customHeight="1">
      <c r="A115" s="99"/>
      <c r="B115" s="90"/>
      <c r="C115" s="99"/>
      <c r="D115" s="99"/>
    </row>
    <row r="116" spans="1:4" ht="15" customHeight="1">
      <c r="A116" s="94" t="s">
        <v>71</v>
      </c>
      <c r="B116" s="88" t="s">
        <v>62</v>
      </c>
      <c r="C116" s="86" t="s">
        <v>63</v>
      </c>
      <c r="D116" s="86" t="s">
        <v>72</v>
      </c>
    </row>
    <row r="117" spans="1:4">
      <c r="A117" s="98"/>
      <c r="B117" s="89"/>
      <c r="C117" s="98"/>
      <c r="D117" s="98"/>
    </row>
    <row r="118" spans="1:4">
      <c r="A118" s="98"/>
      <c r="B118" s="89"/>
      <c r="C118" s="98"/>
      <c r="D118" s="98"/>
    </row>
    <row r="119" spans="1:4">
      <c r="A119" s="98"/>
      <c r="B119" s="89"/>
      <c r="C119" s="98"/>
      <c r="D119" s="98"/>
    </row>
    <row r="120" spans="1:4">
      <c r="A120" s="98"/>
      <c r="B120" s="89"/>
      <c r="C120" s="98"/>
      <c r="D120" s="98"/>
    </row>
    <row r="121" spans="1:4">
      <c r="A121" s="98"/>
      <c r="B121" s="89"/>
      <c r="C121" s="98"/>
      <c r="D121" s="98"/>
    </row>
    <row r="122" spans="1:4">
      <c r="A122" s="98"/>
      <c r="B122" s="89"/>
      <c r="C122" s="98"/>
      <c r="D122" s="98"/>
    </row>
    <row r="123" spans="1:4">
      <c r="A123" s="99"/>
      <c r="B123" s="90"/>
      <c r="C123" s="99"/>
      <c r="D123" s="99"/>
    </row>
    <row r="124" spans="1:4" ht="15" customHeight="1">
      <c r="A124" s="87" t="s">
        <v>73</v>
      </c>
      <c r="B124" s="88" t="s">
        <v>62</v>
      </c>
      <c r="C124" s="86" t="s">
        <v>63</v>
      </c>
      <c r="D124" s="86" t="s">
        <v>74</v>
      </c>
    </row>
    <row r="125" spans="1:4">
      <c r="A125" s="98"/>
      <c r="B125" s="89"/>
      <c r="C125" s="98"/>
      <c r="D125" s="98"/>
    </row>
    <row r="126" spans="1:4">
      <c r="A126" s="98"/>
      <c r="B126" s="89"/>
      <c r="C126" s="98"/>
      <c r="D126" s="98"/>
    </row>
    <row r="127" spans="1:4">
      <c r="A127" s="98"/>
      <c r="B127" s="89"/>
      <c r="C127" s="98"/>
      <c r="D127" s="98"/>
    </row>
    <row r="128" spans="1:4">
      <c r="A128" s="99"/>
      <c r="B128" s="90"/>
      <c r="C128" s="99"/>
      <c r="D128" s="99"/>
    </row>
  </sheetData>
  <mergeCells count="59">
    <mergeCell ref="B36:B45"/>
    <mergeCell ref="A4:A24"/>
    <mergeCell ref="D75:D81"/>
    <mergeCell ref="C61:C65"/>
    <mergeCell ref="B4:B24"/>
    <mergeCell ref="A25:A35"/>
    <mergeCell ref="D66:D74"/>
    <mergeCell ref="C25:C35"/>
    <mergeCell ref="C4:C24"/>
    <mergeCell ref="D25:D35"/>
    <mergeCell ref="A36:A45"/>
    <mergeCell ref="D36:D45"/>
    <mergeCell ref="C55:C60"/>
    <mergeCell ref="A55:A60"/>
    <mergeCell ref="A61:A65"/>
    <mergeCell ref="A108:A115"/>
    <mergeCell ref="C66:C74"/>
    <mergeCell ref="D116:D123"/>
    <mergeCell ref="C100:C107"/>
    <mergeCell ref="B75:B81"/>
    <mergeCell ref="B82:B90"/>
    <mergeCell ref="D91:D99"/>
    <mergeCell ref="B100:B107"/>
    <mergeCell ref="D100:D107"/>
    <mergeCell ref="C108:C115"/>
    <mergeCell ref="D82:D90"/>
    <mergeCell ref="A66:A74"/>
    <mergeCell ref="A2:D2"/>
    <mergeCell ref="B46:B54"/>
    <mergeCell ref="K4:K5"/>
    <mergeCell ref="B116:B123"/>
    <mergeCell ref="A82:A90"/>
    <mergeCell ref="B91:B99"/>
    <mergeCell ref="B25:B35"/>
    <mergeCell ref="A116:A123"/>
    <mergeCell ref="D46:D54"/>
    <mergeCell ref="B66:B74"/>
    <mergeCell ref="D4:D24"/>
    <mergeCell ref="B61:B65"/>
    <mergeCell ref="C75:C81"/>
    <mergeCell ref="D61:D65"/>
    <mergeCell ref="A100:A107"/>
    <mergeCell ref="B55:B60"/>
    <mergeCell ref="C124:C128"/>
    <mergeCell ref="A75:A81"/>
    <mergeCell ref="K17:K37"/>
    <mergeCell ref="D55:D60"/>
    <mergeCell ref="B108:B115"/>
    <mergeCell ref="C36:C45"/>
    <mergeCell ref="D124:D128"/>
    <mergeCell ref="A124:A128"/>
    <mergeCell ref="B124:B128"/>
    <mergeCell ref="C116:C123"/>
    <mergeCell ref="D108:D115"/>
    <mergeCell ref="A46:A54"/>
    <mergeCell ref="C46:C54"/>
    <mergeCell ref="A91:A99"/>
    <mergeCell ref="C91:C99"/>
    <mergeCell ref="C82:C9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M84"/>
  <sheetViews>
    <sheetView tabSelected="1" topLeftCell="A30" zoomScale="115" zoomScaleNormal="115" workbookViewId="0">
      <selection activeCell="B46" sqref="B46"/>
    </sheetView>
  </sheetViews>
  <sheetFormatPr defaultColWidth="9.140625" defaultRowHeight="15"/>
  <cols>
    <col min="1" max="1" width="29.140625" customWidth="1"/>
    <col min="2" max="2" width="75.28515625" style="17" customWidth="1"/>
    <col min="7" max="7" width="23.28515625" hidden="1" customWidth="1"/>
    <col min="8" max="8" width="26" hidden="1" customWidth="1"/>
    <col min="9" max="9" width="11.28515625" hidden="1" customWidth="1"/>
    <col min="10" max="10" width="37.28515625" hidden="1" customWidth="1"/>
    <col min="11" max="11" width="27.28515625" hidden="1" customWidth="1"/>
    <col min="12" max="12" width="9.42578125" bestFit="1" customWidth="1"/>
  </cols>
  <sheetData>
    <row r="1" spans="1:2" hidden="1">
      <c r="A1" t="s">
        <v>75</v>
      </c>
      <c r="B1" t="s">
        <v>76</v>
      </c>
    </row>
    <row r="2" spans="1:2" hidden="1">
      <c r="A2" t="s">
        <v>77</v>
      </c>
      <c r="B2"/>
    </row>
    <row r="3" spans="1:2" ht="160.5" hidden="1" customHeight="1">
      <c r="B3"/>
    </row>
    <row r="4" spans="1:2" ht="105" hidden="1">
      <c r="A4" s="16" t="s">
        <v>78</v>
      </c>
      <c r="B4" s="21" t="s">
        <v>59</v>
      </c>
    </row>
    <row r="5" spans="1:2" hidden="1">
      <c r="A5" s="19" t="s">
        <v>79</v>
      </c>
      <c r="B5" s="22" t="s">
        <v>11</v>
      </c>
    </row>
    <row r="6" spans="1:2" hidden="1">
      <c r="A6" s="19" t="s">
        <v>80</v>
      </c>
      <c r="B6" s="20" t="s">
        <v>12</v>
      </c>
    </row>
    <row r="7" spans="1:2" hidden="1">
      <c r="A7" s="19" t="s">
        <v>81</v>
      </c>
      <c r="B7" s="20" t="s">
        <v>82</v>
      </c>
    </row>
    <row r="8" spans="1:2" hidden="1">
      <c r="A8" s="19" t="s">
        <v>83</v>
      </c>
      <c r="B8" s="20" t="s">
        <v>14</v>
      </c>
    </row>
    <row r="9" spans="1:2" hidden="1">
      <c r="A9" s="19" t="s">
        <v>84</v>
      </c>
      <c r="B9" s="20" t="s">
        <v>26</v>
      </c>
    </row>
    <row r="10" spans="1:2" hidden="1">
      <c r="A10" s="19"/>
      <c r="B10" s="20"/>
    </row>
    <row r="11" spans="1:2" hidden="1">
      <c r="A11" s="23" t="s">
        <v>85</v>
      </c>
      <c r="B11" s="24">
        <f>IFERROR(VLOOKUP(B4,BASE_DATOS!A:I,6,FALSE),"Seleccione una plantilla")</f>
        <v>0</v>
      </c>
    </row>
    <row r="12" spans="1:2" hidden="1"/>
    <row r="13" spans="1:2" hidden="1"/>
    <row r="14" spans="1:2" hidden="1"/>
    <row r="15" spans="1:2" hidden="1">
      <c r="A15" s="83" t="s">
        <v>86</v>
      </c>
      <c r="B15" s="83"/>
    </row>
    <row r="16" spans="1:2" hidden="1">
      <c r="A16" s="19" t="s">
        <v>87</v>
      </c>
      <c r="B16" s="19" t="s">
        <v>88</v>
      </c>
    </row>
    <row r="17" spans="1:7" hidden="1">
      <c r="A17" s="19" t="s">
        <v>89</v>
      </c>
      <c r="B17" s="19" t="s">
        <v>90</v>
      </c>
    </row>
    <row r="18" spans="1:7" hidden="1">
      <c r="A18" s="19" t="s">
        <v>91</v>
      </c>
      <c r="B18" s="19"/>
    </row>
    <row r="19" spans="1:7" hidden="1">
      <c r="A19" s="19" t="s">
        <v>92</v>
      </c>
      <c r="B19" s="19" t="s">
        <v>93</v>
      </c>
    </row>
    <row r="20" spans="1:7" hidden="1">
      <c r="A20" s="19" t="s">
        <v>94</v>
      </c>
      <c r="B20" s="19"/>
    </row>
    <row r="21" spans="1:7" hidden="1">
      <c r="A21" s="19" t="s">
        <v>95</v>
      </c>
      <c r="B21" s="19"/>
    </row>
    <row r="22" spans="1:7" hidden="1">
      <c r="A22" s="19" t="s">
        <v>96</v>
      </c>
      <c r="B22" s="19"/>
    </row>
    <row r="23" spans="1:7" hidden="1">
      <c r="A23" s="19" t="s">
        <v>97</v>
      </c>
      <c r="B23" s="25"/>
    </row>
    <row r="24" spans="1:7" hidden="1">
      <c r="A24" s="19" t="s">
        <v>98</v>
      </c>
      <c r="B24" s="20"/>
    </row>
    <row r="25" spans="1:7" hidden="1"/>
    <row r="26" spans="1:7" hidden="1"/>
    <row r="27" spans="1:7" hidden="1"/>
    <row r="28" spans="1:7" hidden="1"/>
    <row r="29" spans="1:7" hidden="1"/>
    <row r="31" spans="1:7" ht="15" customHeight="1">
      <c r="A31" s="85" t="s">
        <v>99</v>
      </c>
      <c r="B31" s="85"/>
      <c r="C31" s="85"/>
      <c r="D31" s="85"/>
      <c r="E31" s="85"/>
      <c r="F31" s="85"/>
      <c r="G31" s="85"/>
    </row>
    <row r="32" spans="1:7" ht="15" customHeight="1">
      <c r="A32" s="85"/>
      <c r="B32" s="85"/>
      <c r="C32" s="85"/>
      <c r="D32" s="85"/>
      <c r="E32" s="85"/>
      <c r="F32" s="85"/>
      <c r="G32" s="85"/>
    </row>
    <row r="33" spans="1:11">
      <c r="H33" t="s">
        <v>100</v>
      </c>
      <c r="I33" t="s">
        <v>101</v>
      </c>
      <c r="J33" t="s">
        <v>5</v>
      </c>
      <c r="K33" t="s">
        <v>102</v>
      </c>
    </row>
    <row r="34" spans="1:11" ht="15" customHeight="1">
      <c r="H34" t="s">
        <v>103</v>
      </c>
      <c r="I34" t="s">
        <v>104</v>
      </c>
      <c r="J34" t="s">
        <v>105</v>
      </c>
      <c r="K34" t="s">
        <v>106</v>
      </c>
    </row>
    <row r="35" spans="1:11" ht="15" customHeight="1">
      <c r="A35" s="84" t="s">
        <v>107</v>
      </c>
      <c r="B35" s="84"/>
      <c r="H35" t="s">
        <v>108</v>
      </c>
      <c r="I35" t="s">
        <v>109</v>
      </c>
      <c r="J35" t="s">
        <v>110</v>
      </c>
      <c r="K35" t="s">
        <v>111</v>
      </c>
    </row>
    <row r="36" spans="1:11" ht="15" customHeight="1">
      <c r="A36" s="26" t="s">
        <v>87</v>
      </c>
      <c r="B36" s="26"/>
      <c r="H36" t="s">
        <v>112</v>
      </c>
      <c r="I36" t="s">
        <v>113</v>
      </c>
      <c r="J36" t="s">
        <v>114</v>
      </c>
      <c r="K36" t="s">
        <v>115</v>
      </c>
    </row>
    <row r="37" spans="1:11" ht="15" customHeight="1">
      <c r="A37" s="26" t="s">
        <v>89</v>
      </c>
      <c r="B37" s="26"/>
      <c r="I37" t="s">
        <v>116</v>
      </c>
      <c r="J37" t="s">
        <v>117</v>
      </c>
      <c r="K37" t="s">
        <v>118</v>
      </c>
    </row>
    <row r="38" spans="1:11" ht="15" customHeight="1">
      <c r="A38" s="26" t="s">
        <v>119</v>
      </c>
      <c r="B38" s="26" t="s">
        <v>104</v>
      </c>
      <c r="I38" t="s">
        <v>120</v>
      </c>
      <c r="J38" t="s">
        <v>121</v>
      </c>
      <c r="K38" t="s">
        <v>122</v>
      </c>
    </row>
    <row r="39" spans="1:11" ht="15" customHeight="1">
      <c r="A39" s="26" t="s">
        <v>123</v>
      </c>
      <c r="B39" s="26" t="s">
        <v>124</v>
      </c>
      <c r="I39" t="s">
        <v>125</v>
      </c>
      <c r="J39" s="39" t="s">
        <v>126</v>
      </c>
      <c r="K39" t="s">
        <v>127</v>
      </c>
    </row>
    <row r="40" spans="1:11" ht="15" customHeight="1">
      <c r="A40" s="26" t="s">
        <v>92</v>
      </c>
      <c r="B40" s="82" t="s">
        <v>128</v>
      </c>
      <c r="J40" t="s">
        <v>129</v>
      </c>
      <c r="K40" t="s">
        <v>130</v>
      </c>
    </row>
    <row r="41" spans="1:11" ht="15" customHeight="1">
      <c r="A41" s="26" t="s">
        <v>94</v>
      </c>
      <c r="B41" s="65">
        <v>928859319</v>
      </c>
      <c r="D41" s="81"/>
      <c r="J41" t="s">
        <v>131</v>
      </c>
      <c r="K41" t="s">
        <v>132</v>
      </c>
    </row>
    <row r="42" spans="1:11" ht="15" customHeight="1">
      <c r="A42" s="26" t="s">
        <v>133</v>
      </c>
      <c r="B42" s="66"/>
      <c r="G42" s="39"/>
      <c r="H42" s="39"/>
      <c r="I42" s="39"/>
      <c r="J42" t="s">
        <v>134</v>
      </c>
      <c r="K42" s="39" t="s">
        <v>135</v>
      </c>
    </row>
    <row r="43" spans="1:11" ht="15" customHeight="1">
      <c r="A43" s="26" t="s">
        <v>136</v>
      </c>
      <c r="B43" s="65" t="s">
        <v>137</v>
      </c>
      <c r="G43" s="39"/>
      <c r="H43" s="39"/>
      <c r="I43" s="39"/>
      <c r="J43" t="s">
        <v>138</v>
      </c>
      <c r="K43" s="39" t="s">
        <v>139</v>
      </c>
    </row>
    <row r="44" spans="1:11" ht="15" hidden="1" customHeight="1">
      <c r="A44" s="26" t="s">
        <v>140</v>
      </c>
      <c r="B44"/>
      <c r="G44" s="39"/>
      <c r="H44" s="39"/>
      <c r="I44" s="39"/>
      <c r="J44" t="s">
        <v>141</v>
      </c>
      <c r="K44" s="39" t="s">
        <v>142</v>
      </c>
    </row>
    <row r="45" spans="1:11" ht="15" hidden="1" customHeight="1">
      <c r="A45" s="26" t="s">
        <v>143</v>
      </c>
      <c r="B45" s="26"/>
      <c r="G45" s="39"/>
      <c r="H45" s="39"/>
      <c r="I45" s="39"/>
      <c r="J45" t="s">
        <v>144</v>
      </c>
      <c r="K45" s="39" t="s">
        <v>145</v>
      </c>
    </row>
    <row r="46" spans="1:11" ht="15" customHeight="1">
      <c r="A46" s="26" t="s">
        <v>146</v>
      </c>
      <c r="B46" t="s">
        <v>147</v>
      </c>
      <c r="C46" s="26"/>
      <c r="G46" s="39"/>
      <c r="H46" s="39"/>
      <c r="I46" s="39"/>
      <c r="J46" s="39" t="s">
        <v>148</v>
      </c>
      <c r="K46" s="39" t="s">
        <v>149</v>
      </c>
    </row>
    <row r="47" spans="1:11" ht="15" customHeight="1">
      <c r="A47" s="26" t="s">
        <v>150</v>
      </c>
      <c r="B47" s="26"/>
      <c r="G47" s="39"/>
      <c r="H47" s="39"/>
      <c r="I47" s="39"/>
      <c r="K47" s="39"/>
    </row>
    <row r="48" spans="1:11" ht="15" customHeight="1">
      <c r="A48" s="26" t="s">
        <v>151</v>
      </c>
      <c r="B48" s="26" t="s">
        <v>152</v>
      </c>
      <c r="G48" s="39"/>
      <c r="H48" s="39"/>
      <c r="I48" s="39"/>
      <c r="K48" s="39"/>
    </row>
    <row r="49" spans="1:13" ht="15" customHeight="1">
      <c r="A49" s="26"/>
      <c r="B49" s="26"/>
      <c r="G49" s="39"/>
      <c r="H49" s="39"/>
      <c r="I49" s="39"/>
      <c r="J49" s="39"/>
      <c r="K49" s="39"/>
      <c r="M49" s="39"/>
    </row>
    <row r="50" spans="1:13" ht="15" customHeight="1">
      <c r="A50" s="26" t="s">
        <v>5</v>
      </c>
      <c r="B50" s="26"/>
      <c r="G50" s="39"/>
      <c r="H50" s="39"/>
      <c r="I50" s="39"/>
      <c r="J50" s="39"/>
      <c r="K50" s="39"/>
    </row>
    <row r="51" spans="1:13" ht="135">
      <c r="A51" s="57" t="s">
        <v>153</v>
      </c>
      <c r="B51" s="58" t="str">
        <f>"BACK OFFICE FIJA HITSS"&amp;CHAR(10)&amp;
"Persona de Contacto: "&amp;B40&amp;CHAR(10)&amp;
"Numero de Contacto: "&amp;B41&amp;CHAR(10)&amp;
"Problema Detectado: "&amp;B39&amp;CHAR(10)&amp;
"Solución Del Caso: " &amp; B47 &amp; CHAR(10)&amp;
"Descartes Realizados: " &amp; B48 &amp; CHAR(10)&amp;
"SOT/REMEDY: "&amp;B42&amp;CHAR(10)&amp;
"ID Llamada/LARAIGO: "&amp;B43&amp;CHAR(10)&amp;
"Asesor: "&amp;B36&amp;" - "&amp;B37</f>
        <v xml:space="preserve">BACK OFFICE FIJA HITSS
Persona de Contacto: WILMER JESUS CASTILLO DE LA CRUZ
Numero de Contacto: 928859319
Problema Detectado: INT - LOS EN ROJO
Solución Del Caso: 
Descartes Realizados: SE VALIDA SIN CONSUMO EN TRACER, DESARTES FISICOS LOS EN ROJO, SE REINICIO SIN EXITO
SOT/REMEDY: 
ID Llamada/LARAIGO: 1786548320-2769346
Asesor:  - </v>
      </c>
      <c r="G51" s="54"/>
      <c r="H51" s="54"/>
      <c r="I51" s="54"/>
      <c r="J51" s="54"/>
      <c r="K51" s="54"/>
    </row>
    <row r="52" spans="1:13" ht="135">
      <c r="A52" s="59" t="s">
        <v>154</v>
      </c>
      <c r="B52" s="60" t="str">
        <f>"BACK OFFICE FIJA HITSS"&amp;CHAR(10)&amp;
"Problema Detectado: "&amp;B39&amp;CHAR(10)&amp;
"Diagnostio: " &amp; B47 &amp; CHAR(10)&amp;
"Usuario: "&amp;B40&amp;CHAR(10)&amp; "Descartes realizados: "&amp;B48 &amp; CHAR(10)&amp;
"Numero de Contacto: "&amp;B41&amp;CHAR(10)&amp;
"ID Llamada/LARAIGO: "&amp;B43&amp;CHAR(10)&amp;
B50 &amp; CHAR(10)&amp;
"Asesor: "&amp;B36&amp;" - "&amp;B37</f>
        <v xml:space="preserve">BACK OFFICE FIJA HITSS
Problema Detectado: INT - LOS EN ROJO
Diagnostio: 
Usuario: WILMER JESUS CASTILLO DE LA CRUZ
Descartes realizados: SE VALIDA SIN CONSUMO EN TRACER, DESARTES FISICOS LOS EN ROJO, SE REINICIO SIN EXITO
Numero de Contacto: 928859319
ID Llamada/LARAIGO: 1786548320-2769346
Asesor:  - </v>
      </c>
      <c r="G52" s="54"/>
      <c r="H52" s="54"/>
      <c r="I52" s="54"/>
      <c r="J52" s="54"/>
      <c r="K52" s="54"/>
    </row>
    <row r="53" spans="1:13">
      <c r="G53" s="54"/>
      <c r="H53" s="54"/>
      <c r="I53" s="54"/>
      <c r="J53" s="54"/>
      <c r="K53" s="54"/>
    </row>
    <row r="54" spans="1:13">
      <c r="G54" s="54"/>
      <c r="H54" s="54"/>
      <c r="I54" s="54"/>
      <c r="J54" s="54"/>
      <c r="K54" s="54"/>
    </row>
    <row r="55" spans="1:13">
      <c r="A55" s="1"/>
      <c r="B55" s="1"/>
      <c r="D55" s="54"/>
      <c r="E55" s="54"/>
      <c r="F55" s="54"/>
      <c r="G55" s="54"/>
      <c r="H55" s="54"/>
      <c r="I55" s="54"/>
      <c r="J55" s="54"/>
      <c r="K55" s="54"/>
    </row>
    <row r="56" spans="1:13">
      <c r="A56" s="1"/>
      <c r="B56" s="1"/>
      <c r="D56" s="54"/>
      <c r="E56" s="54"/>
      <c r="F56" s="54"/>
      <c r="G56" s="54"/>
      <c r="H56" s="54"/>
      <c r="I56" s="54"/>
      <c r="J56" s="54"/>
      <c r="K56" s="54"/>
    </row>
    <row r="57" spans="1:13">
      <c r="A57" s="1"/>
      <c r="B57" s="1"/>
      <c r="D57" s="54"/>
      <c r="E57" s="54"/>
      <c r="F57" s="54"/>
      <c r="G57" s="54"/>
      <c r="H57" s="54"/>
      <c r="I57" s="54"/>
      <c r="J57" s="54"/>
      <c r="K57" s="54"/>
    </row>
    <row r="58" spans="1:13">
      <c r="A58" s="1"/>
      <c r="B58" s="1"/>
      <c r="D58" s="54"/>
      <c r="E58" s="54"/>
      <c r="F58" s="54"/>
      <c r="G58" s="54"/>
      <c r="H58" s="54"/>
      <c r="I58" s="54"/>
      <c r="J58" s="54"/>
      <c r="K58" s="54"/>
    </row>
    <row r="59" spans="1:13">
      <c r="A59" s="1"/>
      <c r="B59" s="1"/>
      <c r="D59" s="54"/>
      <c r="E59" s="54"/>
      <c r="F59" s="54"/>
      <c r="G59" s="54"/>
      <c r="H59" s="54"/>
      <c r="I59" s="54"/>
      <c r="J59" s="54"/>
      <c r="K59" s="54"/>
    </row>
    <row r="60" spans="1:13">
      <c r="A60" s="1"/>
      <c r="B60" s="1"/>
      <c r="D60" s="54"/>
      <c r="E60" s="54"/>
      <c r="F60" s="54"/>
      <c r="G60" s="54"/>
      <c r="H60" s="54"/>
      <c r="I60" s="54"/>
      <c r="J60" s="54"/>
      <c r="K60" s="54"/>
    </row>
    <row r="61" spans="1:13">
      <c r="A61" s="1"/>
      <c r="B61" s="1"/>
      <c r="D61" s="54"/>
      <c r="E61" s="54"/>
      <c r="F61" s="54"/>
      <c r="G61" s="54"/>
      <c r="H61" s="54"/>
      <c r="I61" s="54"/>
      <c r="J61" s="54"/>
      <c r="K61" s="54"/>
    </row>
    <row r="62" spans="1:13">
      <c r="A62" s="1"/>
      <c r="B62" s="1"/>
      <c r="D62" s="54"/>
      <c r="E62" s="54"/>
      <c r="F62" s="54"/>
      <c r="G62" s="54"/>
      <c r="H62" s="54"/>
      <c r="I62" s="54"/>
      <c r="J62" s="54"/>
      <c r="K62" s="54"/>
    </row>
    <row r="63" spans="1:13">
      <c r="A63" s="1"/>
      <c r="B63" s="1"/>
      <c r="D63" s="54"/>
      <c r="E63" s="54"/>
      <c r="F63" s="54"/>
      <c r="G63" s="54"/>
      <c r="H63" s="54"/>
      <c r="I63" s="54"/>
      <c r="J63" s="54"/>
      <c r="K63" s="54"/>
    </row>
    <row r="64" spans="1:13">
      <c r="A64" s="1"/>
      <c r="B64" s="1"/>
      <c r="D64" s="54"/>
      <c r="E64" s="54"/>
      <c r="F64" s="54"/>
      <c r="G64" s="54"/>
      <c r="H64" s="54"/>
    </row>
    <row r="65" spans="1:8">
      <c r="A65" s="1"/>
      <c r="B65" s="1"/>
      <c r="D65" s="54"/>
      <c r="E65" s="54"/>
      <c r="F65" s="54"/>
      <c r="G65" s="54"/>
      <c r="H65" s="54"/>
    </row>
    <row r="66" spans="1:8">
      <c r="A66" s="1"/>
      <c r="B66" s="1"/>
      <c r="D66" s="54"/>
      <c r="E66" s="54"/>
      <c r="F66" s="54"/>
      <c r="G66" s="54"/>
      <c r="H66" s="54"/>
    </row>
    <row r="67" spans="1:8">
      <c r="A67" s="1"/>
      <c r="B67" s="1"/>
      <c r="D67" s="54"/>
      <c r="E67" s="54"/>
      <c r="F67" s="54"/>
      <c r="G67" s="54"/>
      <c r="H67" s="54"/>
    </row>
    <row r="68" spans="1:8">
      <c r="A68" s="1"/>
      <c r="B68" s="1"/>
      <c r="D68" s="54"/>
      <c r="E68" s="54"/>
      <c r="F68" s="54"/>
      <c r="G68" s="54"/>
      <c r="H68" s="54"/>
    </row>
    <row r="69" spans="1:8">
      <c r="A69" s="1"/>
      <c r="B69" s="1"/>
      <c r="D69" s="54"/>
      <c r="E69" s="54"/>
      <c r="F69" s="54"/>
      <c r="G69" s="54"/>
      <c r="H69" s="54"/>
    </row>
    <row r="70" spans="1:8">
      <c r="A70" s="1"/>
      <c r="B70" s="1"/>
      <c r="D70" s="54"/>
      <c r="E70" s="54"/>
      <c r="F70" s="54"/>
      <c r="G70" s="54"/>
      <c r="H70" s="54"/>
    </row>
    <row r="71" spans="1:8">
      <c r="A71" s="1"/>
      <c r="B71" s="1"/>
      <c r="D71" s="54"/>
      <c r="E71" s="54"/>
      <c r="F71" s="54"/>
      <c r="G71" s="54"/>
      <c r="H71" s="54"/>
    </row>
    <row r="72" spans="1:8">
      <c r="A72" s="1"/>
      <c r="B72" s="1"/>
      <c r="D72" s="54"/>
      <c r="E72" s="54"/>
      <c r="F72" s="54"/>
      <c r="G72" s="54"/>
      <c r="H72" s="54"/>
    </row>
    <row r="73" spans="1:8">
      <c r="A73" s="1"/>
      <c r="B73" s="1"/>
      <c r="D73" s="54"/>
      <c r="E73" s="54"/>
      <c r="F73" s="54"/>
      <c r="G73" s="54"/>
      <c r="H73" s="54"/>
    </row>
    <row r="74" spans="1:8">
      <c r="A74" s="1"/>
      <c r="B74" s="1"/>
      <c r="D74" s="54"/>
      <c r="E74" s="54"/>
      <c r="F74" s="54"/>
      <c r="G74" s="54"/>
      <c r="H74" s="54"/>
    </row>
    <row r="75" spans="1:8">
      <c r="A75" s="1"/>
      <c r="B75" s="1"/>
      <c r="D75" s="54"/>
      <c r="E75" s="54"/>
      <c r="F75" s="54"/>
      <c r="G75" s="54"/>
      <c r="H75" s="54"/>
    </row>
    <row r="76" spans="1:8">
      <c r="A76" s="1"/>
      <c r="B76" s="1"/>
      <c r="D76" s="54"/>
      <c r="E76" s="54"/>
      <c r="F76" s="54"/>
      <c r="G76" s="54"/>
      <c r="H76" s="54"/>
    </row>
    <row r="77" spans="1:8">
      <c r="A77" s="1"/>
      <c r="B77" s="1"/>
      <c r="D77" s="54"/>
      <c r="E77" s="54"/>
      <c r="F77" s="54"/>
      <c r="G77" s="54"/>
      <c r="H77" s="54"/>
    </row>
    <row r="78" spans="1:8">
      <c r="A78" s="1"/>
      <c r="B78" s="1"/>
      <c r="D78" s="54"/>
      <c r="E78" s="54"/>
      <c r="F78" s="54"/>
      <c r="G78" s="54"/>
      <c r="H78" s="54"/>
    </row>
    <row r="79" spans="1:8">
      <c r="B79" s="39"/>
    </row>
    <row r="80" spans="1:8">
      <c r="B80" s="39"/>
    </row>
    <row r="81" spans="2:2">
      <c r="B81" s="39"/>
    </row>
    <row r="82" spans="2:2">
      <c r="B82" s="39"/>
    </row>
    <row r="83" spans="2:2">
      <c r="B83" s="39"/>
    </row>
    <row r="84" spans="2:2">
      <c r="B84" s="39"/>
    </row>
  </sheetData>
  <dataConsolidate/>
  <mergeCells count="3">
    <mergeCell ref="A15:B15"/>
    <mergeCell ref="A35:B35"/>
    <mergeCell ref="A31:G32"/>
  </mergeCells>
  <dataValidations count="7">
    <dataValidation type="list" allowBlank="1" showInputMessage="1" showErrorMessage="1" sqref="B38" xr:uid="{5AAE6AD3-AF11-498D-95B3-B90EFBAC4C69}">
      <formula1>PROBLEMA_DETECTADO</formula1>
    </dataValidation>
    <dataValidation type="list" allowBlank="1" showInputMessage="1" showErrorMessage="1" sqref="B36" xr:uid="{05B97FA9-FB82-4ADC-B954-C92F26E4E151}">
      <formula1>Asesores</formula1>
    </dataValidation>
    <dataValidation type="list" allowBlank="1" showInputMessage="1" showErrorMessage="1" sqref="B39" xr:uid="{87D98225-9C3C-438F-8A5E-91FE64E324CA}">
      <formula1>INDIRECT(B38)</formula1>
    </dataValidation>
    <dataValidation type="list" allowBlank="1" showInputMessage="1" showErrorMessage="1" sqref="B49" xr:uid="{89C49533-DD3F-4AAA-BEFD-A7C19A95AC82}">
      <formula1>$H$34:$H$36</formula1>
    </dataValidation>
    <dataValidation type="list" allowBlank="1" showInputMessage="1" showErrorMessage="1" sqref="B50" xr:uid="{70F4F002-A6C2-4736-8D36-BACF2FD30078}">
      <formula1>$J$34:$J$47</formula1>
    </dataValidation>
    <dataValidation type="list" allowBlank="1" showInputMessage="1" showErrorMessage="1" sqref="B47" xr:uid="{BF6CF7B8-F7D5-433A-9DE8-7B77F54F51FF}">
      <formula1>INDIRECT(B39&amp;"_")</formula1>
    </dataValidation>
    <dataValidation type="list" allowBlank="1" showInputMessage="1" showErrorMessage="1" sqref="C46" xr:uid="{48C54A0E-136C-46F1-8BE6-C07D072FA2C7}">
      <formula1>INDIRECT(B38&amp;"_")</formula1>
    </dataValidation>
  </dataValidations>
  <pageMargins left="0.75" right="0.75" top="1" bottom="1" header="0.5" footer="0.5"/>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LIMPIAR_DATOS">
                <anchor moveWithCells="1" sizeWithCells="1">
                  <from>
                    <xdr:col>2</xdr:col>
                    <xdr:colOff>190500</xdr:colOff>
                    <xdr:row>50</xdr:row>
                    <xdr:rowOff>495300</xdr:rowOff>
                  </from>
                  <to>
                    <xdr:col>5</xdr:col>
                    <xdr:colOff>219075</xdr:colOff>
                    <xdr:row>50</xdr:row>
                    <xdr:rowOff>1095375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xr:uid="{94567947-8243-4BE8-B2F6-4F4578EEA83F}">
          <x14:formula1>
            <xm:f>Hoja1!$D$1:$D$14</xm:f>
          </x14:formula1>
          <xm:sqref>B4</xm:sqref>
        </x14:dataValidation>
        <x14:dataValidation type="list" allowBlank="1" xr:uid="{767345F6-4F34-4A0E-AB9D-287F87AA9E8D}">
          <x14:formula1>
            <xm:f>Hoja1!$A$1:$A$2</xm:f>
          </x14:formula1>
          <xm:sqref>B5</xm:sqref>
        </x14:dataValidation>
        <x14:dataValidation type="list" allowBlank="1" xr:uid="{A8305152-2312-40DF-A692-5ED9877506CC}">
          <x14:formula1>
            <xm:f>Hoja1!$I$1:$I$3</xm:f>
          </x14:formula1>
          <xm:sqref>B6</xm:sqref>
        </x14:dataValidation>
        <x14:dataValidation type="list" allowBlank="1" xr:uid="{36FE65F6-3D1B-40BD-A640-D08F401C5439}">
          <x14:formula1>
            <xm:f>Hoja1!$A$24:$A$54</xm:f>
          </x14:formula1>
          <xm:sqref>B7</xm:sqref>
        </x14:dataValidation>
        <x14:dataValidation type="list" allowBlank="1" xr:uid="{F25AE972-CE56-469F-87BE-DFFF625ECB04}">
          <x14:formula1>
            <xm:f>Hoja1!$D$24:$D$33</xm:f>
          </x14:formula1>
          <xm:sqref>B8</xm:sqref>
        </x14:dataValidation>
        <x14:dataValidation type="list" allowBlank="1" xr:uid="{0A709BCC-DF85-4E13-99DC-F3250397DDEC}">
          <x14:formula1>
            <xm:f>Hoja1!$F$24:$F$33</xm:f>
          </x14:formula1>
          <xm:sqref>B9</xm:sqref>
        </x14:dataValidation>
        <x14:dataValidation type="list" allowBlank="1" showInputMessage="1" showErrorMessage="1" xr:uid="{BA1C3001-DC43-4870-95E0-8E0912777062}">
          <x14:formula1>
            <xm:f>Hoja1!$A$24:$A$55</xm:f>
          </x14:formula1>
          <xm:sqref>B18</xm:sqref>
        </x14:dataValidation>
        <x14:dataValidation type="list" allowBlank="1" showInputMessage="1" showErrorMessage="1" xr:uid="{F5AA297E-72FD-435F-90F0-EBDFED06A93F}">
          <x14:formula1>
            <xm:f>Hoja1!$D$1:$D$14</xm:f>
          </x14:formula1>
          <xm:sqref>B23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dimension ref="A1:F24"/>
  <sheetViews>
    <sheetView workbookViewId="0">
      <selection activeCell="B30" sqref="B30"/>
    </sheetView>
  </sheetViews>
  <sheetFormatPr defaultColWidth="11.42578125" defaultRowHeight="15"/>
  <cols>
    <col min="1" max="1" width="39.85546875" customWidth="1"/>
    <col min="2" max="2" width="63.85546875" customWidth="1"/>
  </cols>
  <sheetData>
    <row r="1" spans="1:6">
      <c r="B1" s="17"/>
    </row>
    <row r="2" spans="1:6">
      <c r="A2" s="85" t="s">
        <v>99</v>
      </c>
      <c r="B2" s="85"/>
      <c r="C2" s="85"/>
      <c r="D2" s="85"/>
      <c r="E2" s="85"/>
      <c r="F2" s="85"/>
    </row>
    <row r="3" spans="1:6">
      <c r="A3" s="85"/>
      <c r="B3" s="85"/>
      <c r="C3" s="85"/>
      <c r="D3" s="85"/>
      <c r="E3" s="85"/>
      <c r="F3" s="85"/>
    </row>
    <row r="4" spans="1:6">
      <c r="B4" s="17"/>
    </row>
    <row r="5" spans="1:6">
      <c r="B5" s="17"/>
    </row>
    <row r="6" spans="1:6">
      <c r="A6" s="84" t="s">
        <v>107</v>
      </c>
      <c r="B6" s="84"/>
    </row>
    <row r="7" spans="1:6">
      <c r="A7" s="26" t="s">
        <v>87</v>
      </c>
      <c r="B7" s="42" t="s">
        <v>155</v>
      </c>
    </row>
    <row r="8" spans="1:6">
      <c r="A8" s="26" t="s">
        <v>89</v>
      </c>
      <c r="B8" s="43" t="s">
        <v>156</v>
      </c>
    </row>
    <row r="9" spans="1:6">
      <c r="A9" s="26" t="s">
        <v>123</v>
      </c>
      <c r="B9" s="43"/>
    </row>
    <row r="10" spans="1:6">
      <c r="A10" s="26" t="s">
        <v>157</v>
      </c>
      <c r="B10" s="44"/>
    </row>
    <row r="11" spans="1:6" ht="15.75">
      <c r="A11" s="26" t="s">
        <v>92</v>
      </c>
      <c r="B11" s="64"/>
    </row>
    <row r="12" spans="1:6">
      <c r="A12" s="26" t="s">
        <v>94</v>
      </c>
      <c r="B12" s="61"/>
    </row>
    <row r="13" spans="1:6">
      <c r="A13" s="26" t="s">
        <v>133</v>
      </c>
      <c r="B13" s="63"/>
    </row>
    <row r="14" spans="1:6">
      <c r="A14" s="26" t="s">
        <v>136</v>
      </c>
      <c r="B14" s="45" t="s">
        <v>158</v>
      </c>
    </row>
    <row r="15" spans="1:6">
      <c r="A15" s="26" t="s">
        <v>140</v>
      </c>
      <c r="B15" s="56"/>
    </row>
    <row r="16" spans="1:6">
      <c r="A16" s="26" t="s">
        <v>143</v>
      </c>
      <c r="B16" s="62"/>
    </row>
    <row r="17" spans="1:2">
      <c r="A17" s="26" t="s">
        <v>159</v>
      </c>
      <c r="B17" s="62">
        <v>-17.350000000000001</v>
      </c>
    </row>
    <row r="18" spans="1:2">
      <c r="A18" s="26" t="s">
        <v>160</v>
      </c>
      <c r="B18" s="45" t="s">
        <v>104</v>
      </c>
    </row>
    <row r="19" spans="1:2">
      <c r="A19" s="26" t="s">
        <v>161</v>
      </c>
      <c r="B19" s="45" t="s">
        <v>115</v>
      </c>
    </row>
    <row r="20" spans="1:2">
      <c r="A20" s="26" t="s">
        <v>162</v>
      </c>
      <c r="B20" s="55"/>
    </row>
    <row r="21" spans="1:2">
      <c r="A21" s="26" t="s">
        <v>151</v>
      </c>
      <c r="B21" s="45" t="s">
        <v>163</v>
      </c>
    </row>
    <row r="22" spans="1:2">
      <c r="A22" s="26" t="s">
        <v>164</v>
      </c>
      <c r="B22" s="62">
        <v>59568791</v>
      </c>
    </row>
    <row r="23" spans="1:2">
      <c r="A23" s="26" t="s">
        <v>5</v>
      </c>
      <c r="B23" s="45" t="s">
        <v>141</v>
      </c>
    </row>
    <row r="24" spans="1:2" ht="135">
      <c r="A24" s="57" t="s">
        <v>153</v>
      </c>
      <c r="B24" s="58" t="str">
        <f>"BACK OFFICE FIJA HITSS"&amp;CHAR(10)&amp;
"Persona de Contacto: "&amp;B11&amp;CHAR(10)&amp;
"Numero de Contacto: "&amp;B12&amp;CHAR(10)&amp;
"Problema Detectado: "&amp;B18&amp;CHAR(10)&amp;
"Descartes Realizados: " &amp; B19 &amp; CHAR(10)&amp;
"Solución Del Caso: " &amp; B20 &amp; CHAR(10)&amp;
"SOT: "&amp;B13&amp;CHAR(10)&amp;
"ID Llamada: "&amp;B14&amp;CHAR(10)&amp;
"Asesor: "&amp;B7&amp;" - "&amp;B8</f>
        <v>BACK OFFICE FIJA HITSS
Persona de Contacto: 
Numero de Contacto: 
Problema Detectado: INTERNET
Descartes Realizados: INTERMITENTE
Solución Del Caso: 
SOT: 
ID Llamada: 17982-569874
Asesor: ALBERTO MANUEL QUISPE CHÁVEZ - E761034</v>
      </c>
    </row>
  </sheetData>
  <mergeCells count="2">
    <mergeCell ref="A2:F3"/>
    <mergeCell ref="A6:B6"/>
  </mergeCells>
  <dataValidations count="6">
    <dataValidation type="list" allowBlank="1" showInputMessage="1" showErrorMessage="1" sqref="B23" xr:uid="{00000000-0002-0000-0200-000000000000}">
      <formula1>$I$34:$I$45</formula1>
    </dataValidation>
    <dataValidation type="list" allowBlank="1" showInputMessage="1" showErrorMessage="1" sqref="B19" xr:uid="{00000000-0002-0000-0200-000001000000}">
      <formula1>$J$34:$J$46</formula1>
    </dataValidation>
    <dataValidation type="list" allowBlank="1" showInputMessage="1" showErrorMessage="1" sqref="B18" xr:uid="{00000000-0002-0000-0200-000002000000}">
      <formula1>$H$34:$H$39</formula1>
    </dataValidation>
    <dataValidation type="list" allowBlank="1" showInputMessage="1" showErrorMessage="1" sqref="B10" xr:uid="{00000000-0002-0000-0200-000003000000}">
      <formula1>INDIRECT($B$38)</formula1>
    </dataValidation>
    <dataValidation type="list" allowBlank="1" showInputMessage="1" showErrorMessage="1" sqref="B7" xr:uid="{00000000-0002-0000-0200-000004000000}">
      <formula1>Asesores</formula1>
    </dataValidation>
    <dataValidation type="list" allowBlank="1" showInputMessage="1" showErrorMessage="1" sqref="B9" xr:uid="{00000000-0002-0000-0200-000005000000}">
      <formula1>PROBLEMA_DETECTADO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LIMPIAR_DATOS">
                <anchor moveWithCells="1" sizeWithCells="1">
                  <from>
                    <xdr:col>2</xdr:col>
                    <xdr:colOff>190500</xdr:colOff>
                    <xdr:row>23</xdr:row>
                    <xdr:rowOff>495300</xdr:rowOff>
                  </from>
                  <to>
                    <xdr:col>5</xdr:col>
                    <xdr:colOff>219075</xdr:colOff>
                    <xdr:row>23</xdr:row>
                    <xdr:rowOff>1095375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I55"/>
  <sheetViews>
    <sheetView topLeftCell="A22" zoomScale="85" zoomScaleNormal="85" workbookViewId="0">
      <selection activeCell="D24" sqref="D24:D33"/>
    </sheetView>
  </sheetViews>
  <sheetFormatPr defaultColWidth="11.42578125" defaultRowHeight="15"/>
  <cols>
    <col min="1" max="1" width="67.28515625" customWidth="1"/>
    <col min="4" max="4" width="31.42578125" customWidth="1"/>
    <col min="6" max="6" width="28" bestFit="1" customWidth="1"/>
    <col min="9" max="9" width="44.5703125" customWidth="1"/>
  </cols>
  <sheetData>
    <row r="1" spans="1:9" ht="240" customHeight="1">
      <c r="A1" t="s">
        <v>11</v>
      </c>
      <c r="D1" s="17" t="s">
        <v>165</v>
      </c>
      <c r="I1" t="s">
        <v>12</v>
      </c>
    </row>
    <row r="2" spans="1:9" ht="60">
      <c r="A2" t="s">
        <v>62</v>
      </c>
      <c r="D2" s="17" t="s">
        <v>166</v>
      </c>
      <c r="I2" t="s">
        <v>51</v>
      </c>
    </row>
    <row r="3" spans="1:9" ht="75">
      <c r="D3" s="17" t="s">
        <v>167</v>
      </c>
      <c r="I3" t="s">
        <v>168</v>
      </c>
    </row>
    <row r="4" spans="1:9" ht="60">
      <c r="D4" s="17" t="s">
        <v>169</v>
      </c>
    </row>
    <row r="5" spans="1:9" ht="45">
      <c r="D5" s="17" t="s">
        <v>170</v>
      </c>
    </row>
    <row r="6" spans="1:9" ht="45">
      <c r="D6" s="17" t="s">
        <v>171</v>
      </c>
    </row>
    <row r="7" spans="1:9" ht="60">
      <c r="D7" s="17" t="s">
        <v>172</v>
      </c>
    </row>
    <row r="8" spans="1:9" ht="60">
      <c r="D8" s="17" t="s">
        <v>173</v>
      </c>
    </row>
    <row r="9" spans="1:9" ht="90">
      <c r="D9" s="17" t="s">
        <v>174</v>
      </c>
    </row>
    <row r="10" spans="1:9" ht="60">
      <c r="D10" s="17" t="s">
        <v>175</v>
      </c>
    </row>
    <row r="11" spans="1:9" ht="60">
      <c r="D11" s="17" t="s">
        <v>176</v>
      </c>
    </row>
    <row r="12" spans="1:9" ht="75">
      <c r="D12" s="17" t="s">
        <v>177</v>
      </c>
    </row>
    <row r="13" spans="1:9" ht="75">
      <c r="D13" s="17" t="s">
        <v>178</v>
      </c>
    </row>
    <row r="14" spans="1:9" ht="60">
      <c r="D14" s="17" t="s">
        <v>73</v>
      </c>
    </row>
    <row r="24" spans="1:6">
      <c r="A24" s="18" t="s">
        <v>82</v>
      </c>
      <c r="D24" s="4" t="s">
        <v>14</v>
      </c>
    </row>
    <row r="25" spans="1:6">
      <c r="A25" s="18" t="s">
        <v>179</v>
      </c>
      <c r="D25" s="4" t="s">
        <v>19</v>
      </c>
      <c r="F25" t="s">
        <v>16</v>
      </c>
    </row>
    <row r="26" spans="1:6">
      <c r="A26" s="18" t="s">
        <v>180</v>
      </c>
      <c r="D26" s="8" t="s">
        <v>20</v>
      </c>
      <c r="F26" t="s">
        <v>22</v>
      </c>
    </row>
    <row r="27" spans="1:6">
      <c r="A27" s="18" t="s">
        <v>181</v>
      </c>
      <c r="D27" s="4" t="s">
        <v>24</v>
      </c>
      <c r="F27" t="s">
        <v>26</v>
      </c>
    </row>
    <row r="28" spans="1:6">
      <c r="A28" s="18" t="s">
        <v>182</v>
      </c>
      <c r="D28" s="4" t="s">
        <v>28</v>
      </c>
      <c r="F28" t="s">
        <v>26</v>
      </c>
    </row>
    <row r="29" spans="1:6">
      <c r="A29" s="18" t="s">
        <v>183</v>
      </c>
      <c r="D29" s="8" t="s">
        <v>31</v>
      </c>
      <c r="F29" t="s">
        <v>22</v>
      </c>
    </row>
    <row r="30" spans="1:6">
      <c r="A30" s="18" t="s">
        <v>184</v>
      </c>
      <c r="D30" s="4" t="s">
        <v>33</v>
      </c>
      <c r="F30" t="s">
        <v>26</v>
      </c>
    </row>
    <row r="31" spans="1:6">
      <c r="A31" s="18" t="s">
        <v>185</v>
      </c>
      <c r="D31" s="11" t="s">
        <v>36</v>
      </c>
      <c r="F31" t="s">
        <v>38</v>
      </c>
    </row>
    <row r="32" spans="1:6">
      <c r="A32" s="18" t="s">
        <v>186</v>
      </c>
      <c r="D32" s="11" t="s">
        <v>40</v>
      </c>
      <c r="F32" t="s">
        <v>38</v>
      </c>
    </row>
    <row r="33" spans="1:6">
      <c r="A33" s="18" t="s">
        <v>187</v>
      </c>
      <c r="D33" s="11" t="s">
        <v>42</v>
      </c>
      <c r="F33" t="s">
        <v>38</v>
      </c>
    </row>
    <row r="34" spans="1:6">
      <c r="A34" s="18" t="s">
        <v>188</v>
      </c>
    </row>
    <row r="35" spans="1:6">
      <c r="A35" s="18" t="s">
        <v>189</v>
      </c>
    </row>
    <row r="36" spans="1:6">
      <c r="A36" s="18" t="s">
        <v>190</v>
      </c>
    </row>
    <row r="37" spans="1:6">
      <c r="A37" s="18" t="s">
        <v>191</v>
      </c>
    </row>
    <row r="38" spans="1:6">
      <c r="A38" s="18" t="s">
        <v>192</v>
      </c>
    </row>
    <row r="39" spans="1:6">
      <c r="A39" s="18" t="s">
        <v>193</v>
      </c>
    </row>
    <row r="40" spans="1:6">
      <c r="A40" s="18" t="s">
        <v>194</v>
      </c>
    </row>
    <row r="41" spans="1:6">
      <c r="A41" s="18" t="s">
        <v>195</v>
      </c>
    </row>
    <row r="42" spans="1:6">
      <c r="A42" s="18" t="s">
        <v>196</v>
      </c>
    </row>
    <row r="43" spans="1:6">
      <c r="A43" s="18" t="s">
        <v>197</v>
      </c>
    </row>
    <row r="44" spans="1:6">
      <c r="A44" s="18" t="s">
        <v>198</v>
      </c>
    </row>
    <row r="45" spans="1:6">
      <c r="A45" s="18" t="s">
        <v>199</v>
      </c>
    </row>
    <row r="46" spans="1:6">
      <c r="A46" s="18" t="s">
        <v>200</v>
      </c>
    </row>
    <row r="47" spans="1:6">
      <c r="A47" s="18" t="s">
        <v>201</v>
      </c>
    </row>
    <row r="48" spans="1:6">
      <c r="A48" s="18" t="s">
        <v>202</v>
      </c>
    </row>
    <row r="49" spans="1:1">
      <c r="A49" s="18" t="s">
        <v>56</v>
      </c>
    </row>
    <row r="50" spans="1:1">
      <c r="A50" s="18" t="s">
        <v>203</v>
      </c>
    </row>
    <row r="51" spans="1:1">
      <c r="A51" s="18" t="s">
        <v>204</v>
      </c>
    </row>
    <row r="52" spans="1:1">
      <c r="A52" s="18" t="s">
        <v>205</v>
      </c>
    </row>
    <row r="53" spans="1:1">
      <c r="A53" s="18" t="s">
        <v>206</v>
      </c>
    </row>
    <row r="54" spans="1:1">
      <c r="A54" s="18" t="s">
        <v>207</v>
      </c>
    </row>
    <row r="55" spans="1:1">
      <c r="A55" s="18" t="s">
        <v>208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AI126"/>
  <sheetViews>
    <sheetView zoomScale="70" zoomScaleNormal="70" workbookViewId="0">
      <selection activeCell="AF2" sqref="AF2"/>
    </sheetView>
  </sheetViews>
  <sheetFormatPr defaultColWidth="11.42578125" defaultRowHeight="15"/>
  <cols>
    <col min="1" max="1" width="54.42578125" bestFit="1" customWidth="1"/>
    <col min="2" max="2" width="16.5703125" customWidth="1"/>
    <col min="3" max="3" width="11.42578125" customWidth="1"/>
    <col min="5" max="5" width="69.7109375" customWidth="1"/>
    <col min="6" max="6" width="57.7109375" customWidth="1"/>
    <col min="7" max="7" width="48.28515625" customWidth="1"/>
    <col min="8" max="8" width="52.5703125" customWidth="1"/>
    <col min="9" max="9" width="64.7109375" customWidth="1"/>
    <col min="10" max="10" width="65.7109375" customWidth="1"/>
    <col min="11" max="11" width="57.5703125" customWidth="1"/>
    <col min="12" max="12" width="60" customWidth="1"/>
    <col min="13" max="13" width="92.28515625" customWidth="1"/>
    <col min="14" max="14" width="55.7109375" customWidth="1"/>
    <col min="15" max="16" width="52.140625" customWidth="1"/>
    <col min="17" max="17" width="75.85546875" bestFit="1" customWidth="1"/>
    <col min="18" max="18" width="15" customWidth="1"/>
    <col min="19" max="19" width="52.85546875" bestFit="1" customWidth="1"/>
    <col min="21" max="21" width="51.140625" bestFit="1" customWidth="1"/>
    <col min="22" max="22" width="55.42578125" bestFit="1" customWidth="1"/>
    <col min="23" max="23" width="59.140625" bestFit="1" customWidth="1"/>
    <col min="24" max="24" width="46" bestFit="1" customWidth="1"/>
    <col min="25" max="25" width="50.7109375" bestFit="1" customWidth="1"/>
    <col min="26" max="26" width="53" bestFit="1" customWidth="1"/>
    <col min="27" max="27" width="47.5703125" customWidth="1"/>
    <col min="28" max="28" width="64.5703125" bestFit="1" customWidth="1"/>
    <col min="29" max="29" width="65.28515625" customWidth="1"/>
    <col min="30" max="30" width="52.5703125" bestFit="1" customWidth="1"/>
    <col min="31" max="32" width="80.7109375" bestFit="1" customWidth="1"/>
    <col min="33" max="33" width="72.85546875" bestFit="1" customWidth="1"/>
    <col min="34" max="34" width="53.140625" bestFit="1" customWidth="1"/>
    <col min="35" max="35" width="64.42578125" bestFit="1" customWidth="1"/>
  </cols>
  <sheetData>
    <row r="1" spans="1:35" ht="16.5">
      <c r="A1" s="40" t="s">
        <v>209</v>
      </c>
      <c r="E1" s="27" t="s">
        <v>104</v>
      </c>
      <c r="F1" s="28" t="s">
        <v>109</v>
      </c>
      <c r="G1" s="29" t="s">
        <v>116</v>
      </c>
      <c r="H1" s="30" t="s">
        <v>113</v>
      </c>
      <c r="I1" s="31" t="s">
        <v>210</v>
      </c>
      <c r="J1" s="32" t="s">
        <v>211</v>
      </c>
      <c r="K1" s="33" t="s">
        <v>212</v>
      </c>
      <c r="L1" s="34" t="s">
        <v>213</v>
      </c>
      <c r="M1" s="35" t="s">
        <v>214</v>
      </c>
      <c r="N1" s="37" t="s">
        <v>215</v>
      </c>
      <c r="O1" s="27" t="s">
        <v>216</v>
      </c>
      <c r="P1" s="27" t="s">
        <v>217</v>
      </c>
      <c r="Q1" s="41" t="s">
        <v>218</v>
      </c>
      <c r="S1" s="77" t="s">
        <v>219</v>
      </c>
      <c r="U1" t="s">
        <v>220</v>
      </c>
      <c r="V1" t="s">
        <v>221</v>
      </c>
      <c r="W1" t="s">
        <v>222</v>
      </c>
      <c r="X1" t="s">
        <v>223</v>
      </c>
      <c r="Y1" t="s">
        <v>224</v>
      </c>
      <c r="Z1" t="s">
        <v>225</v>
      </c>
      <c r="AA1" t="s">
        <v>226</v>
      </c>
      <c r="AB1" t="s">
        <v>227</v>
      </c>
      <c r="AC1" s="68" t="s">
        <v>228</v>
      </c>
      <c r="AD1" t="s">
        <v>229</v>
      </c>
      <c r="AE1" s="67" t="s">
        <v>230</v>
      </c>
      <c r="AF1" s="68" t="s">
        <v>231</v>
      </c>
      <c r="AG1" s="68" t="s">
        <v>232</v>
      </c>
      <c r="AH1" t="s">
        <v>233</v>
      </c>
      <c r="AI1" t="s">
        <v>234</v>
      </c>
    </row>
    <row r="2" spans="1:35" ht="15" customHeight="1">
      <c r="A2" s="27" t="s">
        <v>104</v>
      </c>
      <c r="E2" t="s">
        <v>235</v>
      </c>
      <c r="F2" t="s">
        <v>236</v>
      </c>
      <c r="G2" t="s">
        <v>237</v>
      </c>
      <c r="H2" t="s">
        <v>238</v>
      </c>
      <c r="I2" t="s">
        <v>239</v>
      </c>
      <c r="J2" t="s">
        <v>240</v>
      </c>
      <c r="K2" t="s">
        <v>199</v>
      </c>
      <c r="L2" t="s">
        <v>201</v>
      </c>
      <c r="M2" s="18" t="s">
        <v>241</v>
      </c>
      <c r="N2" t="s">
        <v>56</v>
      </c>
      <c r="O2" t="s">
        <v>242</v>
      </c>
      <c r="P2" t="s">
        <v>243</v>
      </c>
      <c r="Q2" s="18" t="s">
        <v>244</v>
      </c>
      <c r="S2" t="s">
        <v>220</v>
      </c>
      <c r="U2" t="s">
        <v>245</v>
      </c>
      <c r="V2" t="s">
        <v>246</v>
      </c>
      <c r="W2" t="s">
        <v>247</v>
      </c>
      <c r="X2" t="s">
        <v>248</v>
      </c>
      <c r="Y2" t="s">
        <v>247</v>
      </c>
      <c r="Z2" t="s">
        <v>249</v>
      </c>
      <c r="AA2" t="s">
        <v>245</v>
      </c>
      <c r="AB2" t="s">
        <v>250</v>
      </c>
      <c r="AC2" s="70" t="s">
        <v>251</v>
      </c>
      <c r="AD2" s="72" t="s">
        <v>252</v>
      </c>
      <c r="AE2" s="69" t="s">
        <v>253</v>
      </c>
      <c r="AF2" s="70" t="s">
        <v>254</v>
      </c>
      <c r="AG2" s="70" t="s">
        <v>255</v>
      </c>
      <c r="AH2" s="72" t="s">
        <v>256</v>
      </c>
      <c r="AI2" t="s">
        <v>257</v>
      </c>
    </row>
    <row r="3" spans="1:35" ht="16.5">
      <c r="A3" s="28" t="s">
        <v>109</v>
      </c>
      <c r="E3" t="s">
        <v>258</v>
      </c>
      <c r="F3" t="s">
        <v>259</v>
      </c>
      <c r="G3" t="s">
        <v>260</v>
      </c>
      <c r="H3" t="s">
        <v>261</v>
      </c>
      <c r="I3" t="s">
        <v>262</v>
      </c>
      <c r="J3" t="s">
        <v>263</v>
      </c>
      <c r="K3" t="s">
        <v>264</v>
      </c>
      <c r="L3" t="s">
        <v>265</v>
      </c>
      <c r="M3" s="18" t="s">
        <v>266</v>
      </c>
      <c r="O3" t="s">
        <v>267</v>
      </c>
      <c r="P3" t="s">
        <v>268</v>
      </c>
      <c r="Q3" s="18" t="s">
        <v>269</v>
      </c>
      <c r="S3" t="s">
        <v>221</v>
      </c>
      <c r="U3" t="s">
        <v>270</v>
      </c>
      <c r="V3" t="s">
        <v>271</v>
      </c>
      <c r="W3" t="s">
        <v>245</v>
      </c>
      <c r="X3" t="s">
        <v>272</v>
      </c>
      <c r="Y3" t="s">
        <v>245</v>
      </c>
      <c r="Z3" t="s">
        <v>273</v>
      </c>
      <c r="AA3" t="s">
        <v>274</v>
      </c>
      <c r="AB3" t="s">
        <v>275</v>
      </c>
      <c r="AC3" t="s">
        <v>276</v>
      </c>
      <c r="AD3" t="s">
        <v>277</v>
      </c>
      <c r="AE3" s="71" t="s">
        <v>278</v>
      </c>
      <c r="AF3" s="72" t="s">
        <v>279</v>
      </c>
      <c r="AG3" s="72" t="s">
        <v>280</v>
      </c>
      <c r="AH3" t="s">
        <v>281</v>
      </c>
      <c r="AI3" t="s">
        <v>282</v>
      </c>
    </row>
    <row r="4" spans="1:35" ht="16.5">
      <c r="A4" s="29" t="s">
        <v>116</v>
      </c>
      <c r="E4" t="s">
        <v>283</v>
      </c>
      <c r="F4" t="s">
        <v>284</v>
      </c>
      <c r="G4" t="s">
        <v>285</v>
      </c>
      <c r="H4" t="s">
        <v>286</v>
      </c>
      <c r="I4" t="s">
        <v>287</v>
      </c>
      <c r="M4" s="18" t="s">
        <v>288</v>
      </c>
      <c r="O4" t="s">
        <v>289</v>
      </c>
      <c r="Q4" s="18" t="s">
        <v>290</v>
      </c>
      <c r="S4" t="s">
        <v>222</v>
      </c>
      <c r="U4" t="s">
        <v>291</v>
      </c>
      <c r="V4" t="s">
        <v>292</v>
      </c>
      <c r="W4" t="s">
        <v>293</v>
      </c>
      <c r="X4" t="s">
        <v>294</v>
      </c>
      <c r="Y4" t="s">
        <v>293</v>
      </c>
      <c r="Z4" t="s">
        <v>295</v>
      </c>
      <c r="AA4" t="s">
        <v>296</v>
      </c>
      <c r="AB4" t="s">
        <v>297</v>
      </c>
      <c r="AC4" s="70" t="s">
        <v>298</v>
      </c>
      <c r="AD4" s="70" t="s">
        <v>299</v>
      </c>
      <c r="AE4" s="69" t="s">
        <v>300</v>
      </c>
      <c r="AF4" s="70" t="s">
        <v>301</v>
      </c>
      <c r="AG4" s="70" t="s">
        <v>302</v>
      </c>
      <c r="AH4" t="s">
        <v>303</v>
      </c>
      <c r="AI4" t="s">
        <v>304</v>
      </c>
    </row>
    <row r="5" spans="1:35" ht="16.5">
      <c r="A5" s="30" t="s">
        <v>113</v>
      </c>
      <c r="E5" t="s">
        <v>305</v>
      </c>
      <c r="F5" t="s">
        <v>306</v>
      </c>
      <c r="G5" t="s">
        <v>307</v>
      </c>
      <c r="H5" t="s">
        <v>308</v>
      </c>
      <c r="I5" t="s">
        <v>309</v>
      </c>
      <c r="M5" s="18" t="s">
        <v>310</v>
      </c>
      <c r="O5" t="s">
        <v>207</v>
      </c>
      <c r="Q5" s="18" t="s">
        <v>311</v>
      </c>
      <c r="S5" t="s">
        <v>223</v>
      </c>
      <c r="U5" t="s">
        <v>293</v>
      </c>
      <c r="V5" t="s">
        <v>312</v>
      </c>
      <c r="W5" t="s">
        <v>291</v>
      </c>
      <c r="X5" t="s">
        <v>313</v>
      </c>
      <c r="Y5" t="s">
        <v>314</v>
      </c>
      <c r="Z5" t="s">
        <v>315</v>
      </c>
      <c r="AA5" t="s">
        <v>316</v>
      </c>
      <c r="AB5" t="s">
        <v>317</v>
      </c>
      <c r="AC5" t="s">
        <v>318</v>
      </c>
      <c r="AD5" t="s">
        <v>319</v>
      </c>
      <c r="AE5" s="71" t="s">
        <v>320</v>
      </c>
      <c r="AF5" s="72" t="s">
        <v>321</v>
      </c>
      <c r="AG5" s="72" t="s">
        <v>322</v>
      </c>
      <c r="AH5" t="s">
        <v>323</v>
      </c>
      <c r="AI5" t="s">
        <v>324</v>
      </c>
    </row>
    <row r="6" spans="1:35" ht="16.5">
      <c r="A6" s="31" t="s">
        <v>210</v>
      </c>
      <c r="E6" t="s">
        <v>325</v>
      </c>
      <c r="F6" t="s">
        <v>326</v>
      </c>
      <c r="G6" t="s">
        <v>327</v>
      </c>
      <c r="H6" t="s">
        <v>328</v>
      </c>
      <c r="I6" t="s">
        <v>329</v>
      </c>
      <c r="M6" s="18" t="s">
        <v>330</v>
      </c>
      <c r="S6" t="s">
        <v>224</v>
      </c>
      <c r="U6" t="s">
        <v>331</v>
      </c>
      <c r="V6" t="s">
        <v>332</v>
      </c>
      <c r="X6" t="s">
        <v>333</v>
      </c>
      <c r="Z6" t="s">
        <v>334</v>
      </c>
      <c r="AB6" t="s">
        <v>335</v>
      </c>
      <c r="AC6" s="72" t="s">
        <v>336</v>
      </c>
      <c r="AD6" t="s">
        <v>337</v>
      </c>
      <c r="AE6" s="69" t="s">
        <v>338</v>
      </c>
      <c r="AF6" s="70" t="s">
        <v>339</v>
      </c>
      <c r="AG6" s="70" t="s">
        <v>340</v>
      </c>
      <c r="AH6" t="s">
        <v>341</v>
      </c>
      <c r="AI6" t="s">
        <v>342</v>
      </c>
    </row>
    <row r="7" spans="1:35" ht="16.5">
      <c r="A7" s="32" t="s">
        <v>343</v>
      </c>
      <c r="E7" t="s">
        <v>344</v>
      </c>
      <c r="F7" t="s">
        <v>345</v>
      </c>
      <c r="G7" t="s">
        <v>346</v>
      </c>
      <c r="H7" t="s">
        <v>347</v>
      </c>
      <c r="I7" t="s">
        <v>348</v>
      </c>
      <c r="M7" s="18" t="s">
        <v>349</v>
      </c>
      <c r="S7" t="s">
        <v>225</v>
      </c>
      <c r="V7" t="s">
        <v>350</v>
      </c>
      <c r="X7" t="s">
        <v>351</v>
      </c>
      <c r="AB7" t="s">
        <v>352</v>
      </c>
      <c r="AC7" s="72" t="s">
        <v>353</v>
      </c>
      <c r="AE7" s="71"/>
      <c r="AF7" s="72" t="s">
        <v>354</v>
      </c>
      <c r="AG7" s="72" t="s">
        <v>355</v>
      </c>
      <c r="AH7" t="s">
        <v>356</v>
      </c>
      <c r="AI7" t="s">
        <v>357</v>
      </c>
    </row>
    <row r="8" spans="1:35" ht="16.5">
      <c r="A8" s="33" t="s">
        <v>212</v>
      </c>
      <c r="E8" t="s">
        <v>358</v>
      </c>
      <c r="F8" t="s">
        <v>359</v>
      </c>
      <c r="G8" t="s">
        <v>360</v>
      </c>
      <c r="H8" t="s">
        <v>361</v>
      </c>
      <c r="I8" t="s">
        <v>362</v>
      </c>
      <c r="M8" s="18" t="s">
        <v>363</v>
      </c>
      <c r="S8" t="s">
        <v>226</v>
      </c>
      <c r="V8" t="s">
        <v>364</v>
      </c>
      <c r="X8" t="s">
        <v>365</v>
      </c>
      <c r="AB8" t="s">
        <v>366</v>
      </c>
      <c r="AC8" t="s">
        <v>367</v>
      </c>
      <c r="AE8" s="69"/>
      <c r="AF8" s="70" t="s">
        <v>368</v>
      </c>
      <c r="AG8" s="70" t="s">
        <v>369</v>
      </c>
      <c r="AH8" t="s">
        <v>370</v>
      </c>
      <c r="AI8" t="s">
        <v>371</v>
      </c>
    </row>
    <row r="9" spans="1:35" ht="16.5">
      <c r="A9" s="34" t="s">
        <v>213</v>
      </c>
      <c r="E9" t="s">
        <v>372</v>
      </c>
      <c r="F9" t="s">
        <v>373</v>
      </c>
      <c r="G9" t="s">
        <v>374</v>
      </c>
      <c r="H9" t="s">
        <v>375</v>
      </c>
      <c r="I9" t="s">
        <v>376</v>
      </c>
      <c r="M9" s="18" t="s">
        <v>377</v>
      </c>
      <c r="S9" t="s">
        <v>227</v>
      </c>
      <c r="V9" t="s">
        <v>378</v>
      </c>
      <c r="X9" t="s">
        <v>379</v>
      </c>
      <c r="AB9" t="s">
        <v>380</v>
      </c>
      <c r="AC9" t="s">
        <v>381</v>
      </c>
      <c r="AE9" s="71"/>
      <c r="AF9" s="72"/>
      <c r="AG9" s="72" t="s">
        <v>382</v>
      </c>
      <c r="AH9" t="s">
        <v>383</v>
      </c>
      <c r="AI9" t="s">
        <v>384</v>
      </c>
    </row>
    <row r="10" spans="1:35" ht="16.5">
      <c r="A10" s="37" t="s">
        <v>215</v>
      </c>
      <c r="E10" t="s">
        <v>385</v>
      </c>
      <c r="F10" t="s">
        <v>386</v>
      </c>
      <c r="G10" t="s">
        <v>387</v>
      </c>
      <c r="H10" t="s">
        <v>388</v>
      </c>
      <c r="I10" t="s">
        <v>389</v>
      </c>
      <c r="M10" s="18" t="s">
        <v>390</v>
      </c>
      <c r="S10" t="s">
        <v>228</v>
      </c>
      <c r="V10" t="s">
        <v>391</v>
      </c>
      <c r="X10" t="s">
        <v>392</v>
      </c>
      <c r="AB10" t="s">
        <v>312</v>
      </c>
      <c r="AC10" s="72" t="s">
        <v>393</v>
      </c>
      <c r="AE10" s="69"/>
      <c r="AF10" s="70"/>
      <c r="AG10" s="70" t="s">
        <v>394</v>
      </c>
    </row>
    <row r="11" spans="1:35" ht="16.5">
      <c r="A11" s="27" t="s">
        <v>395</v>
      </c>
      <c r="E11" t="s">
        <v>396</v>
      </c>
      <c r="F11" t="s">
        <v>397</v>
      </c>
      <c r="G11" t="s">
        <v>398</v>
      </c>
      <c r="H11" t="s">
        <v>399</v>
      </c>
      <c r="I11" t="s">
        <v>400</v>
      </c>
      <c r="M11" s="18" t="s">
        <v>401</v>
      </c>
      <c r="S11" t="s">
        <v>229</v>
      </c>
      <c r="V11" t="s">
        <v>402</v>
      </c>
      <c r="X11" t="s">
        <v>403</v>
      </c>
      <c r="AC11" t="s">
        <v>404</v>
      </c>
      <c r="AE11" s="71"/>
      <c r="AF11" s="72"/>
    </row>
    <row r="12" spans="1:35" ht="16.5">
      <c r="A12" s="36" t="s">
        <v>405</v>
      </c>
      <c r="E12" t="s">
        <v>406</v>
      </c>
      <c r="F12" t="s">
        <v>407</v>
      </c>
      <c r="G12" t="s">
        <v>408</v>
      </c>
      <c r="H12" t="s">
        <v>409</v>
      </c>
      <c r="I12" t="s">
        <v>410</v>
      </c>
      <c r="M12" s="18" t="s">
        <v>411</v>
      </c>
      <c r="S12" t="s">
        <v>230</v>
      </c>
      <c r="V12" t="s">
        <v>412</v>
      </c>
      <c r="X12" t="s">
        <v>413</v>
      </c>
      <c r="AC12" t="s">
        <v>414</v>
      </c>
      <c r="AE12" s="69"/>
      <c r="AF12" s="70"/>
    </row>
    <row r="13" spans="1:35" ht="16.5">
      <c r="A13" s="27" t="s">
        <v>415</v>
      </c>
      <c r="E13" t="s">
        <v>416</v>
      </c>
      <c r="F13" t="s">
        <v>417</v>
      </c>
      <c r="G13" t="s">
        <v>418</v>
      </c>
      <c r="H13" t="s">
        <v>419</v>
      </c>
      <c r="I13" t="s">
        <v>420</v>
      </c>
      <c r="M13" s="18" t="s">
        <v>421</v>
      </c>
      <c r="S13" t="s">
        <v>231</v>
      </c>
      <c r="V13" t="s">
        <v>422</v>
      </c>
      <c r="X13" t="s">
        <v>423</v>
      </c>
      <c r="AC13" t="s">
        <v>424</v>
      </c>
      <c r="AE13" s="71"/>
      <c r="AF13" s="72"/>
      <c r="AG13" s="72"/>
    </row>
    <row r="14" spans="1:35">
      <c r="A14" s="76" t="s">
        <v>218</v>
      </c>
      <c r="E14" t="s">
        <v>425</v>
      </c>
      <c r="F14" t="s">
        <v>426</v>
      </c>
      <c r="G14" t="s">
        <v>427</v>
      </c>
      <c r="H14" t="s">
        <v>428</v>
      </c>
      <c r="I14" t="s">
        <v>429</v>
      </c>
      <c r="M14" s="18" t="s">
        <v>430</v>
      </c>
      <c r="S14" t="s">
        <v>232</v>
      </c>
      <c r="V14" t="s">
        <v>431</v>
      </c>
      <c r="X14" t="s">
        <v>432</v>
      </c>
      <c r="AC14" s="70" t="s">
        <v>433</v>
      </c>
      <c r="AE14" s="69"/>
      <c r="AF14" s="70"/>
      <c r="AG14" s="70"/>
    </row>
    <row r="15" spans="1:35" ht="16.5">
      <c r="A15" s="38" t="s">
        <v>217</v>
      </c>
      <c r="E15" t="s">
        <v>434</v>
      </c>
      <c r="F15" t="s">
        <v>435</v>
      </c>
      <c r="G15" t="s">
        <v>436</v>
      </c>
      <c r="H15" t="s">
        <v>437</v>
      </c>
      <c r="I15" t="s">
        <v>438</v>
      </c>
      <c r="M15" s="18" t="s">
        <v>439</v>
      </c>
      <c r="S15" t="s">
        <v>233</v>
      </c>
      <c r="V15" t="s">
        <v>440</v>
      </c>
      <c r="X15" t="s">
        <v>312</v>
      </c>
      <c r="AC15" s="72" t="s">
        <v>441</v>
      </c>
      <c r="AE15" s="71"/>
      <c r="AF15" s="72"/>
      <c r="AG15" s="72"/>
    </row>
    <row r="16" spans="1:35">
      <c r="A16" s="41"/>
      <c r="E16" t="s">
        <v>442</v>
      </c>
      <c r="F16" t="s">
        <v>443</v>
      </c>
      <c r="G16" t="s">
        <v>444</v>
      </c>
      <c r="H16" t="s">
        <v>445</v>
      </c>
      <c r="I16" t="s">
        <v>446</v>
      </c>
      <c r="M16" s="18" t="s">
        <v>447</v>
      </c>
      <c r="S16" t="s">
        <v>234</v>
      </c>
      <c r="V16" t="s">
        <v>448</v>
      </c>
      <c r="AE16" s="69"/>
      <c r="AF16" s="70"/>
      <c r="AG16" s="70"/>
    </row>
    <row r="17" spans="1:33">
      <c r="E17" t="s">
        <v>449</v>
      </c>
      <c r="F17" t="s">
        <v>450</v>
      </c>
      <c r="G17" t="s">
        <v>451</v>
      </c>
      <c r="H17" t="s">
        <v>452</v>
      </c>
      <c r="I17" t="s">
        <v>453</v>
      </c>
      <c r="M17" s="18" t="s">
        <v>454</v>
      </c>
      <c r="V17" t="s">
        <v>455</v>
      </c>
      <c r="AC17" s="72"/>
      <c r="AE17" s="71"/>
      <c r="AF17" s="72"/>
      <c r="AG17" s="72"/>
    </row>
    <row r="18" spans="1:33">
      <c r="E18" t="s">
        <v>456</v>
      </c>
      <c r="F18" t="s">
        <v>457</v>
      </c>
      <c r="G18" t="s">
        <v>458</v>
      </c>
      <c r="I18" t="s">
        <v>459</v>
      </c>
      <c r="M18" s="18" t="s">
        <v>460</v>
      </c>
      <c r="V18" t="s">
        <v>461</v>
      </c>
      <c r="AF18" s="70"/>
      <c r="AG18" s="70"/>
    </row>
    <row r="19" spans="1:33">
      <c r="E19" t="s">
        <v>462</v>
      </c>
      <c r="F19" t="s">
        <v>463</v>
      </c>
      <c r="G19" t="s">
        <v>464</v>
      </c>
      <c r="I19" t="s">
        <v>465</v>
      </c>
      <c r="M19" s="18" t="s">
        <v>466</v>
      </c>
      <c r="V19" t="s">
        <v>467</v>
      </c>
      <c r="AF19" s="72"/>
      <c r="AG19" s="72"/>
    </row>
    <row r="20" spans="1:33">
      <c r="E20" t="s">
        <v>468</v>
      </c>
      <c r="F20" t="s">
        <v>469</v>
      </c>
      <c r="G20" t="s">
        <v>470</v>
      </c>
      <c r="I20" t="s">
        <v>471</v>
      </c>
      <c r="M20" s="18" t="s">
        <v>472</v>
      </c>
      <c r="V20" t="s">
        <v>473</v>
      </c>
      <c r="AF20" s="70"/>
      <c r="AG20" s="70"/>
    </row>
    <row r="21" spans="1:33">
      <c r="E21" t="s">
        <v>474</v>
      </c>
      <c r="F21" t="s">
        <v>475</v>
      </c>
      <c r="G21" t="s">
        <v>476</v>
      </c>
      <c r="I21" t="s">
        <v>477</v>
      </c>
      <c r="M21" s="18" t="s">
        <v>478</v>
      </c>
      <c r="V21" t="s">
        <v>479</v>
      </c>
      <c r="AF21" s="72"/>
      <c r="AG21" s="72"/>
    </row>
    <row r="22" spans="1:33">
      <c r="E22" t="s">
        <v>480</v>
      </c>
      <c r="F22" t="s">
        <v>481</v>
      </c>
      <c r="G22" t="s">
        <v>482</v>
      </c>
      <c r="I22" t="s">
        <v>483</v>
      </c>
      <c r="M22" s="18" t="s">
        <v>484</v>
      </c>
      <c r="V22" t="s">
        <v>485</v>
      </c>
      <c r="AF22" s="70"/>
      <c r="AG22" s="70"/>
    </row>
    <row r="23" spans="1:33">
      <c r="E23" t="s">
        <v>425</v>
      </c>
      <c r="F23" t="s">
        <v>386</v>
      </c>
      <c r="G23" t="s">
        <v>486</v>
      </c>
      <c r="I23" t="s">
        <v>487</v>
      </c>
      <c r="M23" s="18" t="s">
        <v>488</v>
      </c>
      <c r="V23" t="s">
        <v>489</v>
      </c>
      <c r="AF23" s="72"/>
      <c r="AG23" s="72"/>
    </row>
    <row r="24" spans="1:33">
      <c r="E24" t="s">
        <v>490</v>
      </c>
      <c r="F24" t="s">
        <v>491</v>
      </c>
      <c r="G24" t="s">
        <v>492</v>
      </c>
      <c r="I24" t="s">
        <v>493</v>
      </c>
      <c r="M24" s="18" t="s">
        <v>494</v>
      </c>
      <c r="V24" t="s">
        <v>495</v>
      </c>
      <c r="AF24" s="70"/>
      <c r="AG24" s="70"/>
    </row>
    <row r="25" spans="1:33">
      <c r="E25" t="s">
        <v>496</v>
      </c>
      <c r="F25" t="s">
        <v>497</v>
      </c>
      <c r="G25" t="s">
        <v>498</v>
      </c>
      <c r="I25" t="s">
        <v>499</v>
      </c>
      <c r="M25" s="18" t="s">
        <v>500</v>
      </c>
      <c r="AF25" s="72"/>
      <c r="AG25" s="72"/>
    </row>
    <row r="26" spans="1:33">
      <c r="E26" t="s">
        <v>501</v>
      </c>
      <c r="F26" t="s">
        <v>502</v>
      </c>
      <c r="G26" t="s">
        <v>503</v>
      </c>
      <c r="I26" t="s">
        <v>504</v>
      </c>
      <c r="M26" s="18" t="s">
        <v>505</v>
      </c>
      <c r="AF26" s="70"/>
      <c r="AG26" s="70"/>
    </row>
    <row r="27" spans="1:33">
      <c r="E27" t="s">
        <v>506</v>
      </c>
      <c r="F27" t="s">
        <v>507</v>
      </c>
      <c r="G27" t="s">
        <v>508</v>
      </c>
      <c r="I27" t="s">
        <v>509</v>
      </c>
      <c r="M27" s="18" t="s">
        <v>510</v>
      </c>
      <c r="AF27" s="72"/>
    </row>
    <row r="28" spans="1:33">
      <c r="E28" t="s">
        <v>511</v>
      </c>
      <c r="G28" t="s">
        <v>512</v>
      </c>
      <c r="I28" t="s">
        <v>513</v>
      </c>
      <c r="M28" s="18" t="s">
        <v>447</v>
      </c>
    </row>
    <row r="29" spans="1:33">
      <c r="E29" t="s">
        <v>514</v>
      </c>
      <c r="G29" t="s">
        <v>515</v>
      </c>
      <c r="I29" t="s">
        <v>516</v>
      </c>
      <c r="M29" s="18" t="s">
        <v>517</v>
      </c>
    </row>
    <row r="30" spans="1:33">
      <c r="A30" t="s">
        <v>518</v>
      </c>
      <c r="B30" t="s">
        <v>519</v>
      </c>
      <c r="E30" t="s">
        <v>520</v>
      </c>
      <c r="G30" t="s">
        <v>521</v>
      </c>
      <c r="I30" t="s">
        <v>522</v>
      </c>
      <c r="M30" s="18" t="s">
        <v>523</v>
      </c>
    </row>
    <row r="31" spans="1:33">
      <c r="A31" s="73" t="s">
        <v>524</v>
      </c>
      <c r="B31" s="74" t="s">
        <v>525</v>
      </c>
      <c r="E31" t="s">
        <v>526</v>
      </c>
      <c r="G31" t="s">
        <v>527</v>
      </c>
      <c r="I31" t="s">
        <v>528</v>
      </c>
      <c r="M31" s="18" t="s">
        <v>529</v>
      </c>
    </row>
    <row r="32" spans="1:33">
      <c r="A32" s="73" t="s">
        <v>530</v>
      </c>
      <c r="B32" s="74" t="s">
        <v>531</v>
      </c>
      <c r="E32" t="s">
        <v>532</v>
      </c>
      <c r="I32" t="s">
        <v>533</v>
      </c>
      <c r="M32" s="18" t="s">
        <v>534</v>
      </c>
    </row>
    <row r="33" spans="1:13">
      <c r="A33" s="73" t="s">
        <v>535</v>
      </c>
      <c r="B33" s="74" t="s">
        <v>536</v>
      </c>
      <c r="E33" t="s">
        <v>537</v>
      </c>
      <c r="I33" t="s">
        <v>538</v>
      </c>
      <c r="M33" s="18" t="s">
        <v>539</v>
      </c>
    </row>
    <row r="34" spans="1:13">
      <c r="A34" s="73" t="s">
        <v>540</v>
      </c>
      <c r="B34" s="74" t="s">
        <v>541</v>
      </c>
      <c r="E34" t="s">
        <v>542</v>
      </c>
      <c r="I34" t="s">
        <v>543</v>
      </c>
      <c r="M34" s="18" t="s">
        <v>544</v>
      </c>
    </row>
    <row r="35" spans="1:13">
      <c r="A35" s="73" t="s">
        <v>545</v>
      </c>
      <c r="B35" s="74" t="s">
        <v>546</v>
      </c>
      <c r="E35" t="s">
        <v>547</v>
      </c>
      <c r="I35" t="s">
        <v>548</v>
      </c>
      <c r="M35" s="18" t="s">
        <v>549</v>
      </c>
    </row>
    <row r="36" spans="1:13">
      <c r="A36" s="73" t="s">
        <v>550</v>
      </c>
      <c r="B36" s="74" t="s">
        <v>551</v>
      </c>
      <c r="E36" t="s">
        <v>124</v>
      </c>
      <c r="I36" t="s">
        <v>552</v>
      </c>
      <c r="M36" s="18" t="s">
        <v>553</v>
      </c>
    </row>
    <row r="37" spans="1:13">
      <c r="A37" s="73" t="s">
        <v>554</v>
      </c>
      <c r="B37" s="74" t="s">
        <v>555</v>
      </c>
      <c r="E37" t="s">
        <v>556</v>
      </c>
      <c r="I37" t="s">
        <v>557</v>
      </c>
      <c r="M37" s="18" t="s">
        <v>558</v>
      </c>
    </row>
    <row r="38" spans="1:13">
      <c r="A38" s="73" t="s">
        <v>559</v>
      </c>
      <c r="B38" s="74" t="s">
        <v>560</v>
      </c>
      <c r="I38" t="s">
        <v>561</v>
      </c>
      <c r="M38" s="18" t="s">
        <v>562</v>
      </c>
    </row>
    <row r="39" spans="1:13">
      <c r="A39" s="73" t="s">
        <v>563</v>
      </c>
      <c r="B39" s="74" t="s">
        <v>564</v>
      </c>
      <c r="I39" t="s">
        <v>565</v>
      </c>
      <c r="M39" s="18" t="s">
        <v>566</v>
      </c>
    </row>
    <row r="40" spans="1:13">
      <c r="A40" s="73" t="s">
        <v>567</v>
      </c>
      <c r="B40" s="74" t="s">
        <v>568</v>
      </c>
      <c r="I40" t="s">
        <v>569</v>
      </c>
      <c r="M40" s="18" t="s">
        <v>570</v>
      </c>
    </row>
    <row r="41" spans="1:13">
      <c r="A41" s="73" t="s">
        <v>155</v>
      </c>
      <c r="B41" s="74" t="s">
        <v>571</v>
      </c>
      <c r="I41" t="s">
        <v>572</v>
      </c>
      <c r="M41" s="18" t="s">
        <v>573</v>
      </c>
    </row>
    <row r="42" spans="1:13">
      <c r="A42" s="73" t="s">
        <v>574</v>
      </c>
      <c r="B42" s="74" t="s">
        <v>575</v>
      </c>
      <c r="I42" t="s">
        <v>576</v>
      </c>
      <c r="M42" s="18" t="s">
        <v>401</v>
      </c>
    </row>
    <row r="43" spans="1:13">
      <c r="A43" s="73" t="s">
        <v>577</v>
      </c>
      <c r="B43" s="74" t="s">
        <v>578</v>
      </c>
      <c r="I43" t="s">
        <v>579</v>
      </c>
      <c r="M43" s="75"/>
    </row>
    <row r="44" spans="1:13">
      <c r="A44" s="73" t="s">
        <v>580</v>
      </c>
      <c r="B44" s="74" t="s">
        <v>581</v>
      </c>
      <c r="I44" t="s">
        <v>582</v>
      </c>
      <c r="M44" s="75"/>
    </row>
    <row r="45" spans="1:13">
      <c r="A45" s="73" t="s">
        <v>583</v>
      </c>
      <c r="B45" s="74" t="s">
        <v>584</v>
      </c>
      <c r="I45" t="s">
        <v>585</v>
      </c>
      <c r="M45" s="75"/>
    </row>
    <row r="46" spans="1:13">
      <c r="A46" s="73" t="s">
        <v>586</v>
      </c>
      <c r="B46" s="74" t="s">
        <v>587</v>
      </c>
      <c r="I46" t="s">
        <v>588</v>
      </c>
      <c r="M46" s="75"/>
    </row>
    <row r="47" spans="1:13">
      <c r="A47" s="73" t="s">
        <v>589</v>
      </c>
      <c r="B47" s="74" t="s">
        <v>590</v>
      </c>
      <c r="I47" t="s">
        <v>591</v>
      </c>
      <c r="M47" s="75"/>
    </row>
    <row r="48" spans="1:13">
      <c r="A48" s="73" t="s">
        <v>592</v>
      </c>
      <c r="B48" s="74" t="s">
        <v>593</v>
      </c>
      <c r="I48" t="s">
        <v>594</v>
      </c>
      <c r="M48" s="75"/>
    </row>
    <row r="49" spans="1:32">
      <c r="A49" s="73" t="s">
        <v>595</v>
      </c>
      <c r="B49" s="74" t="s">
        <v>596</v>
      </c>
      <c r="I49" t="s">
        <v>597</v>
      </c>
      <c r="M49" s="75"/>
    </row>
    <row r="50" spans="1:32">
      <c r="A50" s="73" t="s">
        <v>598</v>
      </c>
      <c r="B50" s="74" t="s">
        <v>599</v>
      </c>
      <c r="I50" t="s">
        <v>600</v>
      </c>
      <c r="M50" s="75"/>
    </row>
    <row r="51" spans="1:32">
      <c r="A51" s="73" t="s">
        <v>601</v>
      </c>
      <c r="B51" s="74" t="s">
        <v>602</v>
      </c>
      <c r="I51" t="s">
        <v>603</v>
      </c>
      <c r="M51" s="75"/>
    </row>
    <row r="52" spans="1:32">
      <c r="A52" s="73" t="s">
        <v>604</v>
      </c>
      <c r="B52" s="74" t="s">
        <v>605</v>
      </c>
      <c r="I52" t="s">
        <v>606</v>
      </c>
      <c r="M52" s="75"/>
    </row>
    <row r="53" spans="1:32">
      <c r="A53" s="73" t="s">
        <v>607</v>
      </c>
      <c r="B53" s="74" t="s">
        <v>608</v>
      </c>
      <c r="I53" t="s">
        <v>609</v>
      </c>
      <c r="M53" s="75"/>
    </row>
    <row r="54" spans="1:32">
      <c r="A54" s="73" t="s">
        <v>610</v>
      </c>
      <c r="B54" s="74" t="s">
        <v>611</v>
      </c>
      <c r="I54" t="s">
        <v>612</v>
      </c>
      <c r="M54" s="75"/>
    </row>
    <row r="55" spans="1:32">
      <c r="A55" s="73" t="s">
        <v>613</v>
      </c>
      <c r="B55" s="74" t="s">
        <v>614</v>
      </c>
      <c r="I55" t="s">
        <v>615</v>
      </c>
      <c r="M55" s="75"/>
    </row>
    <row r="56" spans="1:32">
      <c r="A56" s="73" t="s">
        <v>616</v>
      </c>
      <c r="B56" s="74" t="s">
        <v>617</v>
      </c>
      <c r="I56" t="s">
        <v>618</v>
      </c>
      <c r="M56" s="75"/>
    </row>
    <row r="57" spans="1:32">
      <c r="A57" s="73" t="s">
        <v>619</v>
      </c>
      <c r="B57" s="74" t="s">
        <v>156</v>
      </c>
      <c r="I57" t="s">
        <v>620</v>
      </c>
      <c r="M57" s="75"/>
    </row>
    <row r="58" spans="1:32">
      <c r="A58" s="73" t="s">
        <v>621</v>
      </c>
      <c r="B58" s="74" t="s">
        <v>622</v>
      </c>
      <c r="I58" t="s">
        <v>623</v>
      </c>
      <c r="M58" s="75"/>
    </row>
    <row r="59" spans="1:32">
      <c r="A59" s="73" t="s">
        <v>624</v>
      </c>
      <c r="B59" s="74" t="s">
        <v>625</v>
      </c>
      <c r="I59" t="s">
        <v>626</v>
      </c>
      <c r="M59" s="75"/>
      <c r="AF59" s="72"/>
    </row>
    <row r="60" spans="1:32">
      <c r="A60" s="73" t="s">
        <v>627</v>
      </c>
      <c r="B60" s="74" t="s">
        <v>628</v>
      </c>
      <c r="I60" t="s">
        <v>629</v>
      </c>
      <c r="M60" s="75"/>
    </row>
    <row r="61" spans="1:32">
      <c r="A61" s="73" t="s">
        <v>630</v>
      </c>
      <c r="B61" s="74" t="s">
        <v>631</v>
      </c>
      <c r="I61" t="s">
        <v>632</v>
      </c>
      <c r="M61" s="75"/>
    </row>
    <row r="62" spans="1:32">
      <c r="A62" s="73" t="s">
        <v>633</v>
      </c>
      <c r="B62" s="74" t="s">
        <v>634</v>
      </c>
      <c r="I62" t="s">
        <v>635</v>
      </c>
      <c r="M62" s="75"/>
    </row>
    <row r="63" spans="1:32">
      <c r="A63" s="73" t="s">
        <v>636</v>
      </c>
      <c r="B63" s="74" t="s">
        <v>637</v>
      </c>
      <c r="I63" t="s">
        <v>638</v>
      </c>
      <c r="M63" s="75"/>
    </row>
    <row r="64" spans="1:32">
      <c r="A64" s="73" t="s">
        <v>639</v>
      </c>
      <c r="B64" s="74" t="s">
        <v>640</v>
      </c>
      <c r="I64" t="s">
        <v>641</v>
      </c>
      <c r="M64" s="75"/>
    </row>
    <row r="65" spans="1:13">
      <c r="A65" s="73" t="s">
        <v>642</v>
      </c>
      <c r="B65" s="74" t="s">
        <v>643</v>
      </c>
      <c r="I65" t="s">
        <v>644</v>
      </c>
      <c r="M65" s="75"/>
    </row>
    <row r="66" spans="1:13">
      <c r="A66" s="73" t="s">
        <v>645</v>
      </c>
      <c r="B66" s="74" t="s">
        <v>646</v>
      </c>
      <c r="I66" t="s">
        <v>647</v>
      </c>
      <c r="M66" s="75"/>
    </row>
    <row r="67" spans="1:13">
      <c r="A67" s="73" t="s">
        <v>648</v>
      </c>
      <c r="B67" s="74" t="s">
        <v>649</v>
      </c>
      <c r="I67" t="s">
        <v>650</v>
      </c>
      <c r="M67" s="75"/>
    </row>
    <row r="68" spans="1:13">
      <c r="A68" s="73" t="s">
        <v>651</v>
      </c>
      <c r="B68" s="74" t="s">
        <v>652</v>
      </c>
      <c r="I68" t="s">
        <v>653</v>
      </c>
      <c r="M68" s="75"/>
    </row>
    <row r="69" spans="1:13">
      <c r="A69" s="73" t="s">
        <v>654</v>
      </c>
      <c r="B69" s="74" t="s">
        <v>655</v>
      </c>
      <c r="I69" t="s">
        <v>656</v>
      </c>
      <c r="M69" s="75"/>
    </row>
    <row r="70" spans="1:13">
      <c r="A70" s="73" t="s">
        <v>657</v>
      </c>
      <c r="B70" s="74" t="s">
        <v>658</v>
      </c>
      <c r="I70" t="s">
        <v>659</v>
      </c>
      <c r="M70" s="75"/>
    </row>
    <row r="71" spans="1:13">
      <c r="A71" s="73" t="s">
        <v>660</v>
      </c>
      <c r="B71" s="74" t="s">
        <v>661</v>
      </c>
      <c r="I71" t="s">
        <v>662</v>
      </c>
      <c r="M71" s="75"/>
    </row>
    <row r="72" spans="1:13">
      <c r="A72" s="73" t="s">
        <v>663</v>
      </c>
      <c r="B72" s="74" t="s">
        <v>664</v>
      </c>
      <c r="I72" t="s">
        <v>665</v>
      </c>
      <c r="M72" s="75"/>
    </row>
    <row r="73" spans="1:13">
      <c r="A73" s="73" t="s">
        <v>666</v>
      </c>
      <c r="B73" s="74" t="s">
        <v>667</v>
      </c>
      <c r="I73" t="s">
        <v>668</v>
      </c>
      <c r="M73" s="75"/>
    </row>
    <row r="74" spans="1:13">
      <c r="A74" s="73" t="s">
        <v>669</v>
      </c>
      <c r="B74" s="74" t="s">
        <v>670</v>
      </c>
      <c r="I74" t="s">
        <v>671</v>
      </c>
      <c r="M74" s="75"/>
    </row>
    <row r="75" spans="1:13">
      <c r="A75" s="73" t="s">
        <v>672</v>
      </c>
      <c r="B75" s="74" t="s">
        <v>673</v>
      </c>
      <c r="I75" t="s">
        <v>674</v>
      </c>
      <c r="M75" s="75"/>
    </row>
    <row r="76" spans="1:13">
      <c r="A76" s="73" t="s">
        <v>675</v>
      </c>
      <c r="B76" s="74" t="s">
        <v>676</v>
      </c>
      <c r="I76" t="s">
        <v>677</v>
      </c>
      <c r="M76" s="75"/>
    </row>
    <row r="77" spans="1:13">
      <c r="A77" s="73" t="s">
        <v>678</v>
      </c>
      <c r="B77" s="74" t="s">
        <v>679</v>
      </c>
      <c r="I77" t="s">
        <v>680</v>
      </c>
      <c r="M77" s="75"/>
    </row>
    <row r="78" spans="1:13">
      <c r="A78" s="73" t="s">
        <v>681</v>
      </c>
      <c r="B78" s="74" t="s">
        <v>682</v>
      </c>
      <c r="I78" t="s">
        <v>683</v>
      </c>
      <c r="M78" s="75"/>
    </row>
    <row r="79" spans="1:13">
      <c r="A79" s="73" t="s">
        <v>684</v>
      </c>
      <c r="B79" s="74" t="s">
        <v>685</v>
      </c>
      <c r="I79" t="s">
        <v>686</v>
      </c>
      <c r="M79" s="75"/>
    </row>
    <row r="80" spans="1:13">
      <c r="A80" s="73" t="s">
        <v>687</v>
      </c>
      <c r="B80" s="74" t="s">
        <v>688</v>
      </c>
      <c r="I80" t="s">
        <v>689</v>
      </c>
      <c r="M80" s="75"/>
    </row>
    <row r="81" spans="1:13">
      <c r="A81" s="73" t="s">
        <v>690</v>
      </c>
      <c r="B81" s="74" t="s">
        <v>691</v>
      </c>
      <c r="I81" t="s">
        <v>692</v>
      </c>
      <c r="M81" s="75"/>
    </row>
    <row r="82" spans="1:13">
      <c r="A82" s="73" t="s">
        <v>693</v>
      </c>
      <c r="B82" s="74" t="s">
        <v>694</v>
      </c>
      <c r="I82" t="s">
        <v>695</v>
      </c>
      <c r="M82" s="75"/>
    </row>
    <row r="83" spans="1:13">
      <c r="A83" s="73" t="s">
        <v>696</v>
      </c>
      <c r="B83" s="74" t="s">
        <v>697</v>
      </c>
      <c r="I83" t="s">
        <v>698</v>
      </c>
      <c r="M83" s="75"/>
    </row>
    <row r="84" spans="1:13">
      <c r="A84" s="73" t="s">
        <v>699</v>
      </c>
      <c r="B84" s="74" t="s">
        <v>700</v>
      </c>
      <c r="I84" t="s">
        <v>701</v>
      </c>
      <c r="M84" s="75"/>
    </row>
    <row r="85" spans="1:13">
      <c r="A85" s="52"/>
      <c r="B85" s="53"/>
      <c r="I85" t="s">
        <v>702</v>
      </c>
      <c r="M85" s="75"/>
    </row>
    <row r="86" spans="1:13">
      <c r="A86" s="52"/>
      <c r="B86" s="53"/>
      <c r="I86" t="s">
        <v>703</v>
      </c>
      <c r="M86" s="75"/>
    </row>
    <row r="87" spans="1:13">
      <c r="A87" s="52"/>
      <c r="B87" s="53"/>
      <c r="I87" t="s">
        <v>704</v>
      </c>
      <c r="M87" s="75"/>
    </row>
    <row r="88" spans="1:13">
      <c r="A88" s="52"/>
      <c r="B88" s="53"/>
      <c r="I88" t="s">
        <v>705</v>
      </c>
      <c r="M88" s="75"/>
    </row>
    <row r="89" spans="1:13">
      <c r="A89" s="52"/>
      <c r="B89" s="53"/>
      <c r="I89" t="s">
        <v>706</v>
      </c>
      <c r="M89" s="75"/>
    </row>
    <row r="90" spans="1:13">
      <c r="A90" s="52"/>
      <c r="B90" s="53"/>
      <c r="I90" t="s">
        <v>707</v>
      </c>
      <c r="M90" s="75"/>
    </row>
    <row r="91" spans="1:13">
      <c r="A91" s="52"/>
      <c r="B91" s="53"/>
      <c r="I91" t="s">
        <v>708</v>
      </c>
      <c r="M91" s="75"/>
    </row>
    <row r="92" spans="1:13">
      <c r="A92" s="52"/>
      <c r="B92" s="53"/>
      <c r="I92" t="s">
        <v>709</v>
      </c>
      <c r="M92" s="75"/>
    </row>
    <row r="93" spans="1:13">
      <c r="A93" s="52"/>
      <c r="B93" s="53"/>
      <c r="I93" t="s">
        <v>710</v>
      </c>
      <c r="M93" s="75"/>
    </row>
    <row r="94" spans="1:13">
      <c r="A94" s="52"/>
      <c r="B94" s="53"/>
      <c r="I94" t="s">
        <v>711</v>
      </c>
      <c r="M94" s="75"/>
    </row>
    <row r="95" spans="1:13">
      <c r="A95" s="46"/>
      <c r="B95" s="50"/>
      <c r="I95" t="s">
        <v>712</v>
      </c>
      <c r="M95" s="75"/>
    </row>
    <row r="96" spans="1:13">
      <c r="A96" s="48"/>
      <c r="B96" s="51"/>
      <c r="I96" t="s">
        <v>713</v>
      </c>
      <c r="M96" s="75"/>
    </row>
    <row r="97" spans="1:13">
      <c r="A97" s="49"/>
      <c r="B97" s="51"/>
      <c r="I97" t="s">
        <v>714</v>
      </c>
      <c r="M97" s="75"/>
    </row>
    <row r="98" spans="1:13">
      <c r="A98" s="47"/>
      <c r="B98" s="50"/>
      <c r="I98" t="s">
        <v>715</v>
      </c>
      <c r="M98" s="75"/>
    </row>
    <row r="99" spans="1:13">
      <c r="A99" s="47"/>
      <c r="B99" s="50"/>
      <c r="I99" t="s">
        <v>716</v>
      </c>
      <c r="M99" s="75"/>
    </row>
    <row r="100" spans="1:13">
      <c r="A100" s="47"/>
      <c r="B100" s="50"/>
      <c r="I100" t="s">
        <v>717</v>
      </c>
      <c r="M100" s="75"/>
    </row>
    <row r="101" spans="1:13">
      <c r="A101" s="47"/>
      <c r="B101" s="50"/>
      <c r="I101" t="s">
        <v>718</v>
      </c>
      <c r="M101" s="75"/>
    </row>
    <row r="102" spans="1:13">
      <c r="A102" s="47"/>
      <c r="B102" s="50"/>
      <c r="I102" t="s">
        <v>719</v>
      </c>
      <c r="M102" s="75"/>
    </row>
    <row r="103" spans="1:13">
      <c r="A103" s="47"/>
      <c r="B103" s="50"/>
      <c r="I103" t="s">
        <v>720</v>
      </c>
      <c r="M103" s="75"/>
    </row>
    <row r="104" spans="1:13">
      <c r="A104" s="46"/>
      <c r="B104" s="50"/>
      <c r="I104" t="s">
        <v>721</v>
      </c>
      <c r="M104" s="75"/>
    </row>
    <row r="105" spans="1:13">
      <c r="A105" s="46"/>
      <c r="B105" s="50"/>
      <c r="I105" t="s">
        <v>722</v>
      </c>
      <c r="M105" s="75"/>
    </row>
    <row r="106" spans="1:13">
      <c r="A106" s="46"/>
      <c r="B106" s="50"/>
      <c r="I106" t="s">
        <v>723</v>
      </c>
      <c r="M106" s="75"/>
    </row>
    <row r="107" spans="1:13">
      <c r="A107" s="46"/>
      <c r="B107" s="50"/>
      <c r="I107" t="s">
        <v>724</v>
      </c>
      <c r="M107" s="75"/>
    </row>
    <row r="108" spans="1:13">
      <c r="A108" s="46"/>
      <c r="B108" s="50"/>
      <c r="I108" t="s">
        <v>725</v>
      </c>
      <c r="M108" s="75"/>
    </row>
    <row r="109" spans="1:13">
      <c r="A109" s="46"/>
      <c r="B109" s="50"/>
      <c r="I109" t="s">
        <v>726</v>
      </c>
      <c r="M109" s="75"/>
    </row>
    <row r="110" spans="1:13">
      <c r="A110" s="46"/>
      <c r="B110" s="50"/>
      <c r="I110" t="s">
        <v>727</v>
      </c>
      <c r="M110" s="75"/>
    </row>
    <row r="111" spans="1:13">
      <c r="A111" s="46"/>
      <c r="B111" s="50"/>
      <c r="I111" t="s">
        <v>728</v>
      </c>
      <c r="M111" s="75"/>
    </row>
    <row r="112" spans="1:13">
      <c r="A112" s="47"/>
      <c r="B112" s="50"/>
      <c r="I112" t="s">
        <v>729</v>
      </c>
      <c r="M112" s="75"/>
    </row>
    <row r="113" spans="1:13">
      <c r="A113" s="46"/>
      <c r="B113" s="50"/>
      <c r="I113" t="s">
        <v>730</v>
      </c>
      <c r="M113" s="75"/>
    </row>
    <row r="114" spans="1:13">
      <c r="A114" s="46"/>
      <c r="B114" s="50"/>
      <c r="I114" t="s">
        <v>731</v>
      </c>
      <c r="M114" s="75"/>
    </row>
    <row r="115" spans="1:13">
      <c r="A115" s="52"/>
      <c r="B115" s="53"/>
      <c r="I115" t="s">
        <v>732</v>
      </c>
      <c r="M115" s="75"/>
    </row>
    <row r="116" spans="1:13">
      <c r="M116" s="75"/>
    </row>
    <row r="117" spans="1:13">
      <c r="M117" s="75"/>
    </row>
    <row r="118" spans="1:13">
      <c r="M118" s="75"/>
    </row>
    <row r="119" spans="1:13">
      <c r="M119" s="75"/>
    </row>
    <row r="120" spans="1:13">
      <c r="M120" s="75"/>
    </row>
    <row r="121" spans="1:13">
      <c r="M121" s="75"/>
    </row>
    <row r="122" spans="1:13">
      <c r="M122" s="75"/>
    </row>
    <row r="123" spans="1:13">
      <c r="M123" s="75"/>
    </row>
    <row r="124" spans="1:13">
      <c r="M124" s="75"/>
    </row>
    <row r="125" spans="1:13">
      <c r="M125" s="75"/>
    </row>
    <row r="126" spans="1:13">
      <c r="M126" s="75"/>
    </row>
  </sheetData>
  <dataConsolidate link="1"/>
  <conditionalFormatting sqref="A115">
    <cfRule type="duplicateValues" dxfId="12" priority="18"/>
  </conditionalFormatting>
  <conditionalFormatting sqref="A115">
    <cfRule type="duplicateValues" dxfId="11" priority="16"/>
    <cfRule type="duplicateValues" dxfId="10" priority="17"/>
  </conditionalFormatting>
  <conditionalFormatting sqref="B115">
    <cfRule type="duplicateValues" dxfId="9" priority="1"/>
    <cfRule type="duplicateValues" dxfId="8" priority="2"/>
    <cfRule type="duplicateValues" dxfId="7" priority="3"/>
  </conditionalFormatting>
  <conditionalFormatting sqref="A85:A114">
    <cfRule type="duplicateValues" dxfId="6" priority="41"/>
  </conditionalFormatting>
  <conditionalFormatting sqref="B85:B114">
    <cfRule type="duplicateValues" dxfId="5" priority="42"/>
  </conditionalFormatting>
  <pageMargins left="0.7" right="0.7" top="0.75" bottom="0.75" header="0.3" footer="0.3"/>
  <pageSetup orientation="portrait"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T50"/>
  <sheetViews>
    <sheetView topLeftCell="D1" zoomScale="70" zoomScaleNormal="70" workbookViewId="0">
      <selection activeCell="G9" sqref="G9"/>
    </sheetView>
  </sheetViews>
  <sheetFormatPr defaultColWidth="11.42578125" defaultRowHeight="15"/>
  <cols>
    <col min="1" max="1" width="50.85546875" bestFit="1" customWidth="1"/>
    <col min="2" max="2" width="63.5703125" customWidth="1"/>
    <col min="7" max="7" width="41.42578125" bestFit="1" customWidth="1"/>
    <col min="8" max="8" width="35.85546875" bestFit="1" customWidth="1"/>
    <col min="9" max="10" width="41.42578125" bestFit="1" customWidth="1"/>
    <col min="11" max="11" width="45.5703125" bestFit="1" customWidth="1"/>
    <col min="12" max="12" width="30" bestFit="1" customWidth="1"/>
    <col min="13" max="14" width="39.42578125" bestFit="1" customWidth="1"/>
    <col min="15" max="15" width="35.28515625" bestFit="1" customWidth="1"/>
    <col min="16" max="16" width="51" bestFit="1" customWidth="1"/>
    <col min="17" max="17" width="45.5703125" bestFit="1" customWidth="1"/>
    <col min="18" max="18" width="35" bestFit="1" customWidth="1"/>
    <col min="19" max="19" width="40.85546875" bestFit="1" customWidth="1"/>
    <col min="20" max="20" width="19.140625" bestFit="1" customWidth="1"/>
  </cols>
  <sheetData>
    <row r="1" spans="1:20" ht="15" customHeight="1">
      <c r="A1" s="78" t="s">
        <v>119</v>
      </c>
      <c r="B1" s="78" t="s">
        <v>733</v>
      </c>
      <c r="G1" s="77" t="s">
        <v>734</v>
      </c>
      <c r="H1" s="77" t="s">
        <v>735</v>
      </c>
      <c r="I1" s="77" t="s">
        <v>736</v>
      </c>
      <c r="J1" s="77" t="s">
        <v>737</v>
      </c>
      <c r="K1" s="77" t="s">
        <v>738</v>
      </c>
      <c r="L1" s="79" t="s">
        <v>739</v>
      </c>
      <c r="M1" s="80" t="s">
        <v>740</v>
      </c>
      <c r="N1" s="79" t="s">
        <v>741</v>
      </c>
      <c r="O1" s="80" t="s">
        <v>742</v>
      </c>
      <c r="P1" s="80" t="s">
        <v>743</v>
      </c>
      <c r="Q1" s="79" t="s">
        <v>744</v>
      </c>
      <c r="R1" s="79" t="s">
        <v>745</v>
      </c>
      <c r="S1" s="80" t="s">
        <v>746</v>
      </c>
      <c r="T1" s="79" t="s">
        <v>747</v>
      </c>
    </row>
    <row r="2" spans="1:20" ht="15" customHeight="1">
      <c r="A2" s="69" t="s">
        <v>104</v>
      </c>
      <c r="B2" s="69" t="s">
        <v>220</v>
      </c>
      <c r="G2" t="s">
        <v>220</v>
      </c>
      <c r="H2" t="s">
        <v>226</v>
      </c>
      <c r="I2" t="s">
        <v>222</v>
      </c>
      <c r="J2" t="s">
        <v>224</v>
      </c>
      <c r="K2" t="s">
        <v>234</v>
      </c>
      <c r="M2" t="s">
        <v>230</v>
      </c>
      <c r="O2" t="s">
        <v>229</v>
      </c>
      <c r="Q2" t="s">
        <v>220</v>
      </c>
    </row>
    <row r="3" spans="1:20" ht="15" customHeight="1">
      <c r="A3" s="71" t="s">
        <v>104</v>
      </c>
      <c r="B3" s="71" t="s">
        <v>221</v>
      </c>
      <c r="G3" t="s">
        <v>221</v>
      </c>
      <c r="H3" t="s">
        <v>227</v>
      </c>
      <c r="I3" t="s">
        <v>223</v>
      </c>
      <c r="J3" t="s">
        <v>225</v>
      </c>
      <c r="K3" t="s">
        <v>232</v>
      </c>
      <c r="O3" t="s">
        <v>233</v>
      </c>
      <c r="Q3" t="s">
        <v>221</v>
      </c>
    </row>
    <row r="4" spans="1:20" ht="15" customHeight="1">
      <c r="A4" s="69" t="s">
        <v>104</v>
      </c>
      <c r="B4" s="69" t="s">
        <v>228</v>
      </c>
      <c r="G4" t="s">
        <v>228</v>
      </c>
      <c r="H4" t="s">
        <v>228</v>
      </c>
      <c r="I4" t="s">
        <v>228</v>
      </c>
      <c r="J4" t="s">
        <v>228</v>
      </c>
      <c r="K4" t="s">
        <v>233</v>
      </c>
      <c r="Q4" t="s">
        <v>222</v>
      </c>
    </row>
    <row r="5" spans="1:20" ht="15" customHeight="1">
      <c r="A5" s="71" t="s">
        <v>104</v>
      </c>
      <c r="B5" s="71" t="s">
        <v>229</v>
      </c>
      <c r="G5" t="s">
        <v>229</v>
      </c>
      <c r="H5" t="s">
        <v>229</v>
      </c>
      <c r="I5" t="s">
        <v>229</v>
      </c>
      <c r="J5" t="s">
        <v>229</v>
      </c>
      <c r="Q5" t="s">
        <v>223</v>
      </c>
    </row>
    <row r="6" spans="1:20" ht="15" customHeight="1">
      <c r="A6" s="69" t="s">
        <v>104</v>
      </c>
      <c r="B6" s="69" t="s">
        <v>231</v>
      </c>
      <c r="G6" t="s">
        <v>231</v>
      </c>
      <c r="H6" t="s">
        <v>232</v>
      </c>
      <c r="I6" t="s">
        <v>231</v>
      </c>
      <c r="J6" t="s">
        <v>231</v>
      </c>
      <c r="Q6" t="s">
        <v>224</v>
      </c>
    </row>
    <row r="7" spans="1:20" ht="15" customHeight="1">
      <c r="A7" s="71" t="s">
        <v>104</v>
      </c>
      <c r="B7" s="71" t="s">
        <v>232</v>
      </c>
      <c r="G7" t="s">
        <v>232</v>
      </c>
      <c r="H7" t="s">
        <v>233</v>
      </c>
      <c r="I7" t="s">
        <v>232</v>
      </c>
      <c r="J7" t="s">
        <v>232</v>
      </c>
      <c r="Q7" t="s">
        <v>225</v>
      </c>
    </row>
    <row r="8" spans="1:20" ht="15" customHeight="1">
      <c r="A8" s="69" t="s">
        <v>104</v>
      </c>
      <c r="B8" s="69" t="s">
        <v>233</v>
      </c>
      <c r="G8" t="s">
        <v>233</v>
      </c>
      <c r="I8" t="s">
        <v>233</v>
      </c>
      <c r="J8" t="s">
        <v>233</v>
      </c>
      <c r="Q8" t="s">
        <v>226</v>
      </c>
    </row>
    <row r="9" spans="1:20" ht="15" customHeight="1">
      <c r="A9" s="71" t="s">
        <v>109</v>
      </c>
      <c r="B9" s="71" t="s">
        <v>226</v>
      </c>
      <c r="Q9" t="s">
        <v>227</v>
      </c>
    </row>
    <row r="10" spans="1:20" ht="15" customHeight="1">
      <c r="A10" s="69" t="s">
        <v>109</v>
      </c>
      <c r="B10" s="69" t="s">
        <v>227</v>
      </c>
      <c r="Q10" t="s">
        <v>234</v>
      </c>
    </row>
    <row r="11" spans="1:20" ht="15" customHeight="1">
      <c r="A11" s="71" t="s">
        <v>109</v>
      </c>
      <c r="B11" s="71" t="s">
        <v>228</v>
      </c>
    </row>
    <row r="12" spans="1:20" ht="15" customHeight="1">
      <c r="A12" s="69" t="s">
        <v>109</v>
      </c>
      <c r="B12" s="69" t="s">
        <v>229</v>
      </c>
    </row>
    <row r="13" spans="1:20">
      <c r="A13" s="71" t="s">
        <v>109</v>
      </c>
      <c r="B13" s="71" t="s">
        <v>232</v>
      </c>
    </row>
    <row r="14" spans="1:20">
      <c r="A14" s="69" t="s">
        <v>109</v>
      </c>
      <c r="B14" s="69" t="s">
        <v>233</v>
      </c>
    </row>
    <row r="15" spans="1:20">
      <c r="A15" s="71" t="s">
        <v>116</v>
      </c>
      <c r="B15" s="71" t="s">
        <v>222</v>
      </c>
    </row>
    <row r="16" spans="1:20">
      <c r="A16" s="69" t="s">
        <v>116</v>
      </c>
      <c r="B16" s="69" t="s">
        <v>223</v>
      </c>
    </row>
    <row r="17" spans="1:17">
      <c r="A17" s="71" t="s">
        <v>116</v>
      </c>
      <c r="B17" s="71" t="s">
        <v>228</v>
      </c>
    </row>
    <row r="18" spans="1:17">
      <c r="A18" s="69" t="s">
        <v>116</v>
      </c>
      <c r="B18" s="69" t="s">
        <v>229</v>
      </c>
    </row>
    <row r="19" spans="1:17">
      <c r="A19" s="71" t="s">
        <v>116</v>
      </c>
      <c r="B19" s="71" t="s">
        <v>231</v>
      </c>
    </row>
    <row r="20" spans="1:17">
      <c r="A20" s="69" t="s">
        <v>116</v>
      </c>
      <c r="B20" s="69" t="s">
        <v>232</v>
      </c>
      <c r="Q20" s="71"/>
    </row>
    <row r="21" spans="1:17">
      <c r="A21" s="71" t="s">
        <v>116</v>
      </c>
      <c r="B21" s="71" t="s">
        <v>233</v>
      </c>
    </row>
    <row r="22" spans="1:17">
      <c r="A22" s="69" t="s">
        <v>113</v>
      </c>
      <c r="B22" s="69" t="s">
        <v>224</v>
      </c>
    </row>
    <row r="23" spans="1:17">
      <c r="A23" s="71" t="s">
        <v>113</v>
      </c>
      <c r="B23" s="71" t="s">
        <v>225</v>
      </c>
    </row>
    <row r="24" spans="1:17">
      <c r="A24" s="69" t="s">
        <v>113</v>
      </c>
      <c r="B24" s="69" t="s">
        <v>228</v>
      </c>
    </row>
    <row r="25" spans="1:17">
      <c r="A25" s="71" t="s">
        <v>113</v>
      </c>
      <c r="B25" s="71" t="s">
        <v>229</v>
      </c>
    </row>
    <row r="26" spans="1:17">
      <c r="A26" s="69" t="s">
        <v>113</v>
      </c>
      <c r="B26" s="69" t="s">
        <v>231</v>
      </c>
    </row>
    <row r="27" spans="1:17">
      <c r="A27" s="71" t="s">
        <v>113</v>
      </c>
      <c r="B27" s="71" t="s">
        <v>232</v>
      </c>
    </row>
    <row r="28" spans="1:17">
      <c r="A28" s="69" t="s">
        <v>113</v>
      </c>
      <c r="B28" s="69" t="s">
        <v>233</v>
      </c>
    </row>
    <row r="29" spans="1:17">
      <c r="A29" s="71" t="s">
        <v>210</v>
      </c>
      <c r="B29" s="71" t="s">
        <v>234</v>
      </c>
    </row>
    <row r="30" spans="1:17">
      <c r="A30" s="69" t="s">
        <v>210</v>
      </c>
      <c r="B30" s="69" t="s">
        <v>232</v>
      </c>
    </row>
    <row r="31" spans="1:17">
      <c r="A31" s="71" t="s">
        <v>210</v>
      </c>
      <c r="B31" s="71" t="s">
        <v>233</v>
      </c>
    </row>
    <row r="32" spans="1:17">
      <c r="A32" s="69" t="s">
        <v>343</v>
      </c>
      <c r="B32" s="69"/>
    </row>
    <row r="33" spans="1:2">
      <c r="A33" s="71" t="s">
        <v>212</v>
      </c>
      <c r="B33" t="s">
        <v>230</v>
      </c>
    </row>
    <row r="34" spans="1:2">
      <c r="A34" s="69" t="s">
        <v>213</v>
      </c>
      <c r="B34" s="69"/>
    </row>
    <row r="35" spans="1:2">
      <c r="A35" s="71" t="s">
        <v>215</v>
      </c>
      <c r="B35" t="s">
        <v>229</v>
      </c>
    </row>
    <row r="36" spans="1:2">
      <c r="A36" s="69" t="s">
        <v>215</v>
      </c>
      <c r="B36" s="69" t="s">
        <v>233</v>
      </c>
    </row>
    <row r="37" spans="1:2">
      <c r="A37" s="71" t="s">
        <v>395</v>
      </c>
      <c r="B37" s="71"/>
    </row>
    <row r="38" spans="1:2">
      <c r="A38" s="69" t="s">
        <v>405</v>
      </c>
      <c r="B38" t="s">
        <v>228</v>
      </c>
    </row>
    <row r="39" spans="1:2">
      <c r="A39" s="71" t="s">
        <v>405</v>
      </c>
      <c r="B39" s="71" t="s">
        <v>220</v>
      </c>
    </row>
    <row r="40" spans="1:2">
      <c r="A40" s="69" t="s">
        <v>405</v>
      </c>
      <c r="B40" s="69" t="s">
        <v>221</v>
      </c>
    </row>
    <row r="41" spans="1:2">
      <c r="A41" s="71" t="s">
        <v>405</v>
      </c>
      <c r="B41" s="71" t="s">
        <v>222</v>
      </c>
    </row>
    <row r="42" spans="1:2">
      <c r="A42" s="69" t="s">
        <v>405</v>
      </c>
      <c r="B42" s="69" t="s">
        <v>223</v>
      </c>
    </row>
    <row r="43" spans="1:2">
      <c r="A43" s="71" t="s">
        <v>405</v>
      </c>
      <c r="B43" s="71" t="s">
        <v>224</v>
      </c>
    </row>
    <row r="44" spans="1:2">
      <c r="A44" s="69" t="s">
        <v>405</v>
      </c>
      <c r="B44" s="69" t="s">
        <v>225</v>
      </c>
    </row>
    <row r="45" spans="1:2">
      <c r="A45" s="71" t="s">
        <v>405</v>
      </c>
      <c r="B45" s="71" t="s">
        <v>226</v>
      </c>
    </row>
    <row r="46" spans="1:2">
      <c r="A46" s="69" t="s">
        <v>405</v>
      </c>
      <c r="B46" s="69" t="s">
        <v>227</v>
      </c>
    </row>
    <row r="47" spans="1:2">
      <c r="A47" s="71" t="s">
        <v>405</v>
      </c>
      <c r="B47" s="71" t="s">
        <v>234</v>
      </c>
    </row>
    <row r="48" spans="1:2">
      <c r="A48" s="69" t="s">
        <v>415</v>
      </c>
      <c r="B48" s="69"/>
    </row>
    <row r="49" spans="1:2">
      <c r="A49" s="71" t="s">
        <v>218</v>
      </c>
      <c r="B49" s="71"/>
    </row>
    <row r="50" spans="1:2">
      <c r="A50" s="69" t="s">
        <v>217</v>
      </c>
      <c r="B50" s="6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9"/>
  <sheetViews>
    <sheetView workbookViewId="0">
      <selection activeCell="B39" sqref="B39"/>
    </sheetView>
  </sheetViews>
  <sheetFormatPr defaultColWidth="11.42578125" defaultRowHeight="15"/>
  <cols>
    <col min="1" max="1" width="30.5703125" bestFit="1" customWidth="1"/>
    <col min="2" max="2" width="30" bestFit="1" customWidth="1"/>
  </cols>
  <sheetData>
    <row r="1" spans="1:2" ht="15" customHeight="1">
      <c r="A1" s="78" t="s">
        <v>733</v>
      </c>
      <c r="B1" s="78" t="s">
        <v>748</v>
      </c>
    </row>
    <row r="2" spans="1:2" ht="15" customHeight="1">
      <c r="A2" s="39" t="s">
        <v>220</v>
      </c>
      <c r="B2" s="39" t="s">
        <v>245</v>
      </c>
    </row>
    <row r="3" spans="1:2" ht="15" customHeight="1">
      <c r="A3" s="39" t="s">
        <v>220</v>
      </c>
      <c r="B3" s="39" t="s">
        <v>749</v>
      </c>
    </row>
    <row r="4" spans="1:2" ht="15" customHeight="1">
      <c r="A4" s="39" t="s">
        <v>220</v>
      </c>
      <c r="B4" s="39" t="s">
        <v>750</v>
      </c>
    </row>
    <row r="5" spans="1:2" ht="15" customHeight="1">
      <c r="A5" s="39" t="s">
        <v>221</v>
      </c>
      <c r="B5" s="39" t="s">
        <v>751</v>
      </c>
    </row>
    <row r="6" spans="1:2" ht="15" customHeight="1">
      <c r="A6" s="39" t="s">
        <v>221</v>
      </c>
      <c r="B6" s="39" t="s">
        <v>752</v>
      </c>
    </row>
    <row r="7" spans="1:2" ht="15" customHeight="1">
      <c r="A7" s="39" t="s">
        <v>221</v>
      </c>
      <c r="B7" s="39" t="s">
        <v>753</v>
      </c>
    </row>
    <row r="8" spans="1:2" ht="15" customHeight="1">
      <c r="A8" s="39" t="s">
        <v>223</v>
      </c>
      <c r="B8" s="39" t="s">
        <v>754</v>
      </c>
    </row>
    <row r="9" spans="1:2" ht="15" customHeight="1">
      <c r="A9" s="39" t="s">
        <v>223</v>
      </c>
      <c r="B9" s="39" t="s">
        <v>755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09de791-b677-4b61-9011-a9529ef06dcc">
      <Terms xmlns="http://schemas.microsoft.com/office/infopath/2007/PartnerControls"/>
    </lcf76f155ced4ddcb4097134ff3c332f>
    <TaxCatchAll xmlns="e912f76f-72e3-4d89-91ff-708363e6674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197DE61ECC49D64B8CD1394CD34AC1AC" ma:contentTypeVersion="11" ma:contentTypeDescription="Crear nuevo documento." ma:contentTypeScope="" ma:versionID="d485c7faac6c180cc7047aa24d72ca16">
  <xsd:schema xmlns:xsd="http://www.w3.org/2001/XMLSchema" xmlns:xs="http://www.w3.org/2001/XMLSchema" xmlns:p="http://schemas.microsoft.com/office/2006/metadata/properties" xmlns:ns2="b09de791-b677-4b61-9011-a9529ef06dcc" xmlns:ns3="e912f76f-72e3-4d89-91ff-708363e6674b" targetNamespace="http://schemas.microsoft.com/office/2006/metadata/properties" ma:root="true" ma:fieldsID="f6719d2a675bbe68d3494d69a6c4af1a" ns2:_="" ns3:_="">
    <xsd:import namespace="b09de791-b677-4b61-9011-a9529ef06dcc"/>
    <xsd:import namespace="e912f76f-72e3-4d89-91ff-708363e6674b"/>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9de791-b677-4b61-9011-a9529ef06dc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ef9521b4-5532-4d1c-ab54-3ca31dd8b4b1"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2f76f-72e3-4d89-91ff-708363e6674b"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6b953e94-d6d9-431c-81f0-db8864e96999}" ma:internalName="TaxCatchAll" ma:showField="CatchAllData" ma:web="e912f76f-72e3-4d89-91ff-708363e6674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0F06586-E82D-4D74-BC2E-1D093B3A4419}"/>
</file>

<file path=customXml/itemProps2.xml><?xml version="1.0" encoding="utf-8"?>
<ds:datastoreItem xmlns:ds="http://schemas.openxmlformats.org/officeDocument/2006/customXml" ds:itemID="{141D6C2C-1CF7-4AD3-A67F-81615CC73F82}"/>
</file>

<file path=customXml/itemProps3.xml><?xml version="1.0" encoding="utf-8"?>
<ds:datastoreItem xmlns:ds="http://schemas.openxmlformats.org/officeDocument/2006/customXml" ds:itemID="{0E58A085-B79D-4B64-8F1E-2056253B5287}"/>
</file>

<file path=docMetadata/LabelInfo.xml><?xml version="1.0" encoding="utf-8"?>
<clbl:labelList xmlns:clbl="http://schemas.microsoft.com/office/2020/mipLabelMetadata">
  <clbl:label id="{349e4846-88cf-4894-bf06-ac98d70f27be}" enabled="1" method="Privileged" siteId="{5fd5460a-b425-49de-9bd0-fcd26270d30c}"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Aaron Saavedra Grandes</dc:creator>
  <cp:keywords/>
  <dc:description/>
  <cp:lastModifiedBy/>
  <cp:revision/>
  <dcterms:created xsi:type="dcterms:W3CDTF">2026-02-19T23:37:21Z</dcterms:created>
  <dcterms:modified xsi:type="dcterms:W3CDTF">2026-08-13T14:06:49Z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0x010100197DE61ECC49D64B8CD1394CD34AC1AC</vt:lpwstr>
  </property>
  <property fmtid="{D5CDD505-2E9C-101B-9397-08002B2CF9AE}" pid="3" name="MediaServiceImageTags">
    <vt:lpwstr/>
  </property>
</Properties>
</file>